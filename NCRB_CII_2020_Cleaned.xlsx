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af7a0539e0efad91/Documents/"/>
    </mc:Choice>
  </mc:AlternateContent>
  <xr:revisionPtr revIDLastSave="137" documentId="8_{109AF700-D811-4ADF-B16D-9821757B2291}" xr6:coauthVersionLast="47" xr6:coauthVersionMax="47" xr10:uidLastSave="{E210CB89-0ECD-4044-A017-1642899EAC93}"/>
  <bookViews>
    <workbookView xWindow="-108" yWindow="-108" windowWidth="23256" windowHeight="12456" activeTab="1" xr2:uid="{FCF5AD00-34B1-4582-93E7-5ED1E3A3CBFE}"/>
  </bookViews>
  <sheets>
    <sheet name="Raw Data" sheetId="1" r:id="rId1"/>
    <sheet name="Executive Dashboard" sheetId="2" r:id="rId2"/>
  </sheets>
  <definedNames>
    <definedName name="_xlchart.v2.0" hidden="1">'Executive Dashboard'!$M$33:$M$35</definedName>
    <definedName name="_xlchart.v2.1" hidden="1">'Executive Dashboard'!$N$33:$N$35</definedName>
    <definedName name="_xlchart.v2.2" hidden="1">'Executive Dashboard'!$M$33:$M$35</definedName>
    <definedName name="_xlchart.v2.3" hidden="1">'Executive Dashboard'!$N$33:$N$35</definedName>
    <definedName name="Slicer_Crime_Category">#N/A</definedName>
  </definedNames>
  <calcPr calcId="0"/>
  <pivotCaches>
    <pivotCache cacheId="6" r:id="rId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Lst>
</workbook>
</file>

<file path=xl/calcChain.xml><?xml version="1.0" encoding="utf-8"?>
<calcChain xmlns="http://schemas.openxmlformats.org/spreadsheetml/2006/main">
  <c r="N35" i="2" l="1"/>
  <c r="N34" i="2"/>
  <c r="N33" i="2"/>
  <c r="AC3" i="2"/>
  <c r="AC4" i="2"/>
  <c r="AC2" i="2"/>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alcChain>
</file>

<file path=xl/sharedStrings.xml><?xml version="1.0" encoding="utf-8"?>
<sst xmlns="http://schemas.openxmlformats.org/spreadsheetml/2006/main" count="176" uniqueCount="85">
  <si>
    <t>ID</t>
  </si>
  <si>
    <t>Crime_Category</t>
  </si>
  <si>
    <t>Pending_Previous_Year</t>
  </si>
  <si>
    <t>Cases_Reported</t>
  </si>
  <si>
    <t>Cases_Reopened</t>
  </si>
  <si>
    <t>Total_Cases_for_Investigation</t>
  </si>
  <si>
    <t>Not_Investigated</t>
  </si>
  <si>
    <t>Transferred</t>
  </si>
  <si>
    <t>Withdrawn</t>
  </si>
  <si>
    <t>FR_Non_Cognizable</t>
  </si>
  <si>
    <t>FR_False</t>
  </si>
  <si>
    <t>FR_Mistake_Civil</t>
  </si>
  <si>
    <t>FR_Insufficient_Evidence</t>
  </si>
  <si>
    <t>FR_Abated</t>
  </si>
  <si>
    <t>Total_Final_Reports</t>
  </si>
  <si>
    <t>Chargesheet_Prev_Year</t>
  </si>
  <si>
    <t>Chargesheet_Current_Year</t>
  </si>
  <si>
    <t>Total_Chargesheets</t>
  </si>
  <si>
    <t>Total_Disposed</t>
  </si>
  <si>
    <t>Quashed</t>
  </si>
  <si>
    <t>Stayed</t>
  </si>
  <si>
    <t>Pending_End_Year</t>
  </si>
  <si>
    <t>Chargesheet_Rate</t>
  </si>
  <si>
    <t>Pendency_Rate</t>
  </si>
  <si>
    <t>Murder with Rape/Gang Rape</t>
  </si>
  <si>
    <t>Dowry Deaths</t>
  </si>
  <si>
    <t>Abetment to Suicide of Women</t>
  </si>
  <si>
    <t>Miscarriage</t>
  </si>
  <si>
    <t>Acid Attack</t>
  </si>
  <si>
    <t>Attempt to Acid Attack</t>
  </si>
  <si>
    <t>Cruelty by Husband or his relatives</t>
  </si>
  <si>
    <t>Kidnapping and Abduction of Women</t>
  </si>
  <si>
    <t>Kidnapping and Abduction</t>
  </si>
  <si>
    <t>Kidnapping and Abduction in order to Murder</t>
  </si>
  <si>
    <t>Kidnapping for Ransom</t>
  </si>
  <si>
    <t>Kidnapping and Abduction of Women to compel her for marriage</t>
  </si>
  <si>
    <t>8.4.1</t>
  </si>
  <si>
    <t>Women</t>
  </si>
  <si>
    <t>8.4.2</t>
  </si>
  <si>
    <t>Girls</t>
  </si>
  <si>
    <t>Procuration of Minor Girls</t>
  </si>
  <si>
    <t>Importation of Girls from Foreign Country</t>
  </si>
  <si>
    <t>Kidnapping and Abduction of Women â€“ Others</t>
  </si>
  <si>
    <t>Human Trafficking</t>
  </si>
  <si>
    <t>Selling of Minor Girls</t>
  </si>
  <si>
    <t>Buying of Minor Girls</t>
  </si>
  <si>
    <t>Rape</t>
  </si>
  <si>
    <t>Attempt to Commit Rape</t>
  </si>
  <si>
    <t>Assault on Women with Intent to Outrage her Modesty</t>
  </si>
  <si>
    <t>Insult to the Modesty of Women</t>
  </si>
  <si>
    <t>Total IPC Crimes against Women</t>
  </si>
  <si>
    <t>Dowry Prohibition Act</t>
  </si>
  <si>
    <t>Immoral Traffic (Prevention) Act</t>
  </si>
  <si>
    <t>Procuring, inducing Children for the sake of prostitution</t>
  </si>
  <si>
    <t>Detaining a person in premises where prostitution is carried on</t>
  </si>
  <si>
    <t>Prostitution in or in the vicinity of public places</t>
  </si>
  <si>
    <t>Seducing or soliciting for purpose of prostitution</t>
  </si>
  <si>
    <t>Other Sections under ITP Act</t>
  </si>
  <si>
    <t>Protection of Women from Domestic Violence Act</t>
  </si>
  <si>
    <t>Cyber Crimes/Information Technology Act</t>
  </si>
  <si>
    <t>Publishing or Transmitting of Sexually Explicit Material</t>
  </si>
  <si>
    <t>Other Women Centric Cyber Crimes</t>
  </si>
  <si>
    <t>Protection of Children from Sexual Offences Act</t>
  </si>
  <si>
    <t>POCSO Act Section 4 &amp; 6</t>
  </si>
  <si>
    <t>POCSO Act Section 8 &amp; 10</t>
  </si>
  <si>
    <t>POCSO Act Section 12</t>
  </si>
  <si>
    <t>POCSO Act Section 14 &amp; 15</t>
  </si>
  <si>
    <t>POCSO Act Section 17,18,19</t>
  </si>
  <si>
    <t>POCSO Act r/w Section 377 IPC</t>
  </si>
  <si>
    <t>Indecent Representation of Women (Prohibition) Act</t>
  </si>
  <si>
    <t>Total SLL Crimes against Women</t>
  </si>
  <si>
    <t>Total Crime against Women</t>
  </si>
  <si>
    <t>Audit_Total</t>
  </si>
  <si>
    <t>Disposal Efficiency ratio</t>
  </si>
  <si>
    <t>False complaint Rate</t>
  </si>
  <si>
    <t>Justice Gap</t>
  </si>
  <si>
    <t>Row Labels</t>
  </si>
  <si>
    <t>Grand Total</t>
  </si>
  <si>
    <t>Sum of Cases_Reported</t>
  </si>
  <si>
    <t>Chargesheet Rate(%)</t>
  </si>
  <si>
    <t xml:space="preserve">Total Cases Reported </t>
  </si>
  <si>
    <t>Total Cases Disposed</t>
  </si>
  <si>
    <t>Total Chargesheet Submitted</t>
  </si>
  <si>
    <t xml:space="preserve"> </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</si>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</sst>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8" tint="0.59999389629810485"/>
        <bgColor theme="4"/>
      </patternFill>
    </fill>
    <fill>
      <patternFill patternType="solid">
        <fgColor theme="8" tint="0.59999389629810485"/>
        <bgColor theme="4" tint="0.79998168889431442"/>
      </patternFill>
    </fill>
    <fill>
      <patternFill patternType="solid">
        <fgColor theme="8" tint="0.59999389629810485"/>
        <bgColor indexed="64"/>
      </patternFill>
    </fill>
    <fill>
      <patternFill patternType="solid">
        <fgColor theme="5"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33" borderId="0" xfId="0" applyFill="1"/>
    <xf numFmtId="0" fontId="13" fillId="34" borderId="10" xfId="0" applyFont="1" applyFill="1" applyBorder="1"/>
    <xf numFmtId="0" fontId="13" fillId="34" borderId="11" xfId="0" applyFont="1" applyFill="1" applyBorder="1"/>
    <xf numFmtId="0" fontId="0" fillId="35" borderId="10" xfId="0" applyFont="1" applyFill="1" applyBorder="1"/>
    <xf numFmtId="0" fontId="0" fillId="35" borderId="11"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36" borderId="0" xfId="0" applyFill="1"/>
    <xf numFmtId="0" fontId="13" fillId="33" borderId="11" xfId="0" applyFont="1" applyFill="1" applyBorder="1"/>
    <xf numFmtId="0" fontId="13" fillId="33" borderId="12" xfId="0" applyFont="1" applyFill="1" applyBorder="1"/>
    <xf numFmtId="0" fontId="0" fillId="33" borderId="11" xfId="0" applyFont="1" applyFill="1" applyBorder="1"/>
    <xf numFmtId="0" fontId="0" fillId="33" borderId="12" xfId="0" applyFont="1" applyFill="1" applyBorder="1"/>
    <xf numFmtId="0" fontId="0" fillId="36" borderId="10" xfId="0" applyFont="1" applyFill="1" applyBorder="1"/>
    <xf numFmtId="0" fontId="0" fillId="36" borderId="11" xfId="0" applyFont="1" applyFill="1" applyBorder="1"/>
    <xf numFmtId="0" fontId="0" fillId="36" borderId="12" xfId="0" applyFont="1" applyFill="1" applyBorder="1"/>
    <xf numFmtId="0" fontId="13" fillId="33" borderId="0" xfId="0" applyFont="1" applyFill="1" applyBorder="1"/>
    <xf numFmtId="9" fontId="0" fillId="0" borderId="0" xfId="1" applyFont="1"/>
    <xf numFmtId="0" fontId="13" fillId="37" borderId="11" xfId="0" applyFont="1" applyFill="1" applyBorder="1"/>
    <xf numFmtId="0" fontId="0" fillId="38" borderId="11" xfId="0" applyFont="1" applyFill="1" applyBorder="1"/>
    <xf numFmtId="0" fontId="0" fillId="39" borderId="11" xfId="0" applyFont="1" applyFill="1" applyBorder="1"/>
    <xf numFmtId="0" fontId="0" fillId="40"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4">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fill>
        <patternFill patternType="solid">
          <fgColor indexed="64"/>
          <bgColor theme="5" tint="0.79998168889431442"/>
        </patternFill>
      </fill>
    </dxf>
    <dxf>
      <numFmt numFmtId="0" formatCode="General"/>
      <fill>
        <patternFill patternType="solid">
          <fgColor indexed="64"/>
          <bgColor theme="5" tint="0.79998168889431442"/>
        </patternFill>
      </fill>
    </dxf>
    <dxf>
      <numFmt numFmtId="0" formatCode="General"/>
      <fill>
        <patternFill patternType="solid">
          <fgColor indexed="64"/>
          <bgColor theme="5" tint="0.79998168889431442"/>
        </patternFill>
      </fill>
    </dxf>
    <dxf>
      <fill>
        <patternFill patternType="solid">
          <fgColor indexed="64"/>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[NCRB_CII_2020_Cleaned.xlsx]Executive 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a:t>
            </a:r>
            <a:r>
              <a:rPr lang="en-US"/>
              <a:t>Comparison table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458322231214961E-2"/>
          <c:y val="0.17334912311735268"/>
          <c:w val="0.758540968765685"/>
          <c:h val="0.36671429363477931"/>
        </c:manualLayout>
      </c:layout>
      <c:barChart>
        <c:barDir val="col"/>
        <c:grouping val="clustered"/>
        <c:varyColors val="0"/>
        <c:ser>
          <c:idx val="0"/>
          <c:order val="0"/>
          <c:tx>
            <c:strRef>
              <c:f>'Executive Dashboard'!$B$7</c:f>
              <c:strCache>
                <c:ptCount val="1"/>
                <c:pt idx="0">
                  <c:v>Total</c:v>
                </c:pt>
              </c:strCache>
            </c:strRef>
          </c:tx>
          <c:spPr>
            <a:solidFill>
              <a:schemeClr val="accent2"/>
            </a:solidFill>
            <a:ln>
              <a:noFill/>
            </a:ln>
            <a:effectLst/>
          </c:spPr>
          <c:invertIfNegative val="0"/>
          <c:cat>
            <c:strRef>
              <c:f>'Executive Dashboard'!$A$8:$A$54</c:f>
              <c:strCache>
                <c:ptCount val="46"/>
                <c:pt idx="0">
                  <c:v>Total Crime against Women</c:v>
                </c:pt>
                <c:pt idx="1">
                  <c:v>Total IPC Crimes against Women</c:v>
                </c:pt>
                <c:pt idx="2">
                  <c:v>Women</c:v>
                </c:pt>
                <c:pt idx="3">
                  <c:v>Cruelty by Husband or his relatives</c:v>
                </c:pt>
                <c:pt idx="4">
                  <c:v>Assault on Women with Intent to Outrage her Modesty</c:v>
                </c:pt>
                <c:pt idx="5">
                  <c:v>Kidnapping and Abduction of Women</c:v>
                </c:pt>
                <c:pt idx="6">
                  <c:v>Total SLL Crimes against Women</c:v>
                </c:pt>
                <c:pt idx="7">
                  <c:v>Protection of Children from Sexual Offences Act</c:v>
                </c:pt>
                <c:pt idx="8">
                  <c:v>Kidnapping and Abduction</c:v>
                </c:pt>
                <c:pt idx="9">
                  <c:v>Rape</c:v>
                </c:pt>
                <c:pt idx="10">
                  <c:v>POCSO Act Section 4 &amp; 6</c:v>
                </c:pt>
                <c:pt idx="11">
                  <c:v>Kidnapping and Abduction of Women to compel her for marriage</c:v>
                </c:pt>
                <c:pt idx="12">
                  <c:v>Girls</c:v>
                </c:pt>
                <c:pt idx="13">
                  <c:v>POCSO Act Section 8 &amp; 10</c:v>
                </c:pt>
                <c:pt idx="14">
                  <c:v>Dowry Prohibition Act</c:v>
                </c:pt>
                <c:pt idx="15">
                  <c:v>Insult to the Modesty of Women</c:v>
                </c:pt>
                <c:pt idx="16">
                  <c:v>Dowry Deaths</c:v>
                </c:pt>
                <c:pt idx="17">
                  <c:v>Kidnapping and Abduction of Women â€“ Others</c:v>
                </c:pt>
                <c:pt idx="18">
                  <c:v>Abetment to Suicide of Women</c:v>
                </c:pt>
                <c:pt idx="19">
                  <c:v>Attempt to Commit Rape</c:v>
                </c:pt>
                <c:pt idx="20">
                  <c:v>Procuration of Minor Girls</c:v>
                </c:pt>
                <c:pt idx="21">
                  <c:v>Cyber Crimes/Information Technology Act</c:v>
                </c:pt>
                <c:pt idx="22">
                  <c:v>Publishing or Transmitting of Sexually Explicit Material</c:v>
                </c:pt>
                <c:pt idx="23">
                  <c:v>POCSO Act Section 12</c:v>
                </c:pt>
                <c:pt idx="24">
                  <c:v>Immoral Traffic (Prevention) Act</c:v>
                </c:pt>
                <c:pt idx="25">
                  <c:v>Other Women Centric Cyber Crimes</c:v>
                </c:pt>
                <c:pt idx="26">
                  <c:v>Human Trafficking</c:v>
                </c:pt>
                <c:pt idx="27">
                  <c:v>POCSO Act Section 17,18,19</c:v>
                </c:pt>
                <c:pt idx="28">
                  <c:v>POCSO Act Section 14 &amp; 15</c:v>
                </c:pt>
                <c:pt idx="29">
                  <c:v>Protection of Women from Domestic Violence Act</c:v>
                </c:pt>
                <c:pt idx="30">
                  <c:v>Other Sections under ITP Act</c:v>
                </c:pt>
                <c:pt idx="31">
                  <c:v>Miscarriage</c:v>
                </c:pt>
                <c:pt idx="32">
                  <c:v>Detaining a person in premises where prostitution is carried on</c:v>
                </c:pt>
                <c:pt idx="33">
                  <c:v>Murder with Rape/Gang Rape</c:v>
                </c:pt>
                <c:pt idx="34">
                  <c:v>Procuring, inducing Children for the sake of prostitution</c:v>
                </c:pt>
                <c:pt idx="35">
                  <c:v>Prostitution in or in the vicinity of public places</c:v>
                </c:pt>
                <c:pt idx="36">
                  <c:v>Acid Attack</c:v>
                </c:pt>
                <c:pt idx="37">
                  <c:v>Kidnapping and Abduction in order to Murder</c:v>
                </c:pt>
                <c:pt idx="38">
                  <c:v>Kidnapping for Ransom</c:v>
                </c:pt>
                <c:pt idx="39">
                  <c:v>Attempt to Acid Attack</c:v>
                </c:pt>
                <c:pt idx="40">
                  <c:v>Seducing or soliciting for purpose of prostitution</c:v>
                </c:pt>
                <c:pt idx="41">
                  <c:v>POCSO Act r/w Section 377 IPC</c:v>
                </c:pt>
                <c:pt idx="42">
                  <c:v>Indecent Representation of Women (Prohibition) Act</c:v>
                </c:pt>
                <c:pt idx="43">
                  <c:v>Selling of Minor Girls</c:v>
                </c:pt>
                <c:pt idx="44">
                  <c:v>Importation of Girls from Foreign Country</c:v>
                </c:pt>
                <c:pt idx="45">
                  <c:v>Buying of Minor Girls</c:v>
                </c:pt>
              </c:strCache>
            </c:strRef>
          </c:cat>
          <c:val>
            <c:numRef>
              <c:f>'Executive Dashboard'!$B$8:$B$54</c:f>
              <c:numCache>
                <c:formatCode>General</c:formatCode>
                <c:ptCount val="46"/>
                <c:pt idx="0">
                  <c:v>371503</c:v>
                </c:pt>
                <c:pt idx="1">
                  <c:v>311354</c:v>
                </c:pt>
                <c:pt idx="2">
                  <c:v>130708</c:v>
                </c:pt>
                <c:pt idx="3">
                  <c:v>111549</c:v>
                </c:pt>
                <c:pt idx="4">
                  <c:v>85392</c:v>
                </c:pt>
                <c:pt idx="5">
                  <c:v>62300</c:v>
                </c:pt>
                <c:pt idx="6">
                  <c:v>60149</c:v>
                </c:pt>
                <c:pt idx="7">
                  <c:v>46123</c:v>
                </c:pt>
                <c:pt idx="8">
                  <c:v>28787</c:v>
                </c:pt>
                <c:pt idx="9">
                  <c:v>28046</c:v>
                </c:pt>
                <c:pt idx="10">
                  <c:v>27807</c:v>
                </c:pt>
                <c:pt idx="11">
                  <c:v>24745</c:v>
                </c:pt>
                <c:pt idx="12">
                  <c:v>18281</c:v>
                </c:pt>
                <c:pt idx="13">
                  <c:v>15515</c:v>
                </c:pt>
                <c:pt idx="14">
                  <c:v>10366</c:v>
                </c:pt>
                <c:pt idx="15">
                  <c:v>7065</c:v>
                </c:pt>
                <c:pt idx="16">
                  <c:v>6966</c:v>
                </c:pt>
                <c:pt idx="17">
                  <c:v>6160</c:v>
                </c:pt>
                <c:pt idx="18">
                  <c:v>5040</c:v>
                </c:pt>
                <c:pt idx="19">
                  <c:v>3741</c:v>
                </c:pt>
                <c:pt idx="20">
                  <c:v>2471</c:v>
                </c:pt>
                <c:pt idx="21">
                  <c:v>2334</c:v>
                </c:pt>
                <c:pt idx="22">
                  <c:v>1655</c:v>
                </c:pt>
                <c:pt idx="23">
                  <c:v>1628</c:v>
                </c:pt>
                <c:pt idx="24">
                  <c:v>868</c:v>
                </c:pt>
                <c:pt idx="25">
                  <c:v>679</c:v>
                </c:pt>
                <c:pt idx="26">
                  <c:v>646</c:v>
                </c:pt>
                <c:pt idx="27">
                  <c:v>593</c:v>
                </c:pt>
                <c:pt idx="28">
                  <c:v>553</c:v>
                </c:pt>
                <c:pt idx="29">
                  <c:v>446</c:v>
                </c:pt>
                <c:pt idx="30">
                  <c:v>284</c:v>
                </c:pt>
                <c:pt idx="31">
                  <c:v>239</c:v>
                </c:pt>
                <c:pt idx="32">
                  <c:v>232</c:v>
                </c:pt>
                <c:pt idx="33">
                  <c:v>219</c:v>
                </c:pt>
                <c:pt idx="34">
                  <c:v>210</c:v>
                </c:pt>
                <c:pt idx="35">
                  <c:v>112</c:v>
                </c:pt>
                <c:pt idx="36">
                  <c:v>105</c:v>
                </c:pt>
                <c:pt idx="37">
                  <c:v>78</c:v>
                </c:pt>
                <c:pt idx="38">
                  <c:v>58</c:v>
                </c:pt>
                <c:pt idx="39">
                  <c:v>33</c:v>
                </c:pt>
                <c:pt idx="40">
                  <c:v>30</c:v>
                </c:pt>
                <c:pt idx="41">
                  <c:v>27</c:v>
                </c:pt>
                <c:pt idx="42">
                  <c:v>12</c:v>
                </c:pt>
                <c:pt idx="43">
                  <c:v>12</c:v>
                </c:pt>
                <c:pt idx="44">
                  <c:v>1</c:v>
                </c:pt>
                <c:pt idx="45">
                  <c:v>1</c:v>
                </c:pt>
              </c:numCache>
            </c:numRef>
          </c:val>
          <c:extLst>
            <c:ext xmlns:c16="http://schemas.microsoft.com/office/drawing/2014/chart" uri="{C3380CC4-5D6E-409C-BE32-E72D297353CC}">
              <c16:uniqueId val="{00000000-C4C0-43C6-9BF0-B47FA1E2D2C1}"/>
            </c:ext>
          </c:extLst>
        </c:ser>
        <c:dLbls>
          <c:showLegendKey val="0"/>
          <c:showVal val="0"/>
          <c:showCatName val="0"/>
          <c:showSerName val="0"/>
          <c:showPercent val="0"/>
          <c:showBubbleSize val="0"/>
        </c:dLbls>
        <c:gapWidth val="219"/>
        <c:overlap val="-27"/>
        <c:axId val="1654067631"/>
        <c:axId val="1654081551"/>
      </c:barChart>
      <c:catAx>
        <c:axId val="165406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081551"/>
        <c:crosses val="autoZero"/>
        <c:auto val="1"/>
        <c:lblAlgn val="ctr"/>
        <c:lblOffset val="100"/>
        <c:noMultiLvlLbl val="0"/>
      </c:catAx>
      <c:valAx>
        <c:axId val="1654081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06763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PC vs. SLL Comparison</a:t>
            </a:r>
            <a:r>
              <a:rPr lang="en-IN"/>
              <a:t> </a:t>
            </a:r>
            <a:r>
              <a:rPr lang="en-IN" baseline="0"/>
              <a:t> Table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463101715364374E-2"/>
          <c:y val="0.11698250380693952"/>
          <c:w val="0.84506566493983692"/>
          <c:h val="0.74667092313768713"/>
        </c:manualLayout>
      </c:layout>
      <c:barChart>
        <c:barDir val="bar"/>
        <c:grouping val="clustered"/>
        <c:varyColors val="0"/>
        <c:ser>
          <c:idx val="0"/>
          <c:order val="0"/>
          <c:tx>
            <c:strRef>
              <c:f>'Executive Dashboard'!$B$2</c:f>
              <c:strCache>
                <c:ptCount val="1"/>
                <c:pt idx="0">
                  <c:v>Total IPC Crimes against Women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'Executive Dashboard'!$C$1:$AC$1</c:f>
              <c:strCache>
                <c:ptCount val="27"/>
                <c:pt idx="0">
                  <c:v>Pending_Previous_Year</c:v>
                </c:pt>
                <c:pt idx="1">
                  <c:v>Cases_Reported</c:v>
                </c:pt>
                <c:pt idx="2">
                  <c:v>Cases_Reopened</c:v>
                </c:pt>
                <c:pt idx="3">
                  <c:v>Total_Cases_for_Investigation</c:v>
                </c:pt>
                <c:pt idx="4">
                  <c:v>Not_Investigated</c:v>
                </c:pt>
                <c:pt idx="5">
                  <c:v>Transferred</c:v>
                </c:pt>
                <c:pt idx="6">
                  <c:v>Withdrawn</c:v>
                </c:pt>
                <c:pt idx="7">
                  <c:v>FR_Non_Cognizable</c:v>
                </c:pt>
                <c:pt idx="8">
                  <c:v>FR_False</c:v>
                </c:pt>
                <c:pt idx="9">
                  <c:v>FR_Mistake_Civil</c:v>
                </c:pt>
                <c:pt idx="10">
                  <c:v>FR_Insufficient_Evidence</c:v>
                </c:pt>
                <c:pt idx="11">
                  <c:v>FR_Abated</c:v>
                </c:pt>
                <c:pt idx="12">
                  <c:v>Total_Final_Reports</c:v>
                </c:pt>
                <c:pt idx="13">
                  <c:v>Chargesheet_Prev_Year</c:v>
                </c:pt>
                <c:pt idx="14">
                  <c:v>Chargesheet_Current_Year</c:v>
                </c:pt>
                <c:pt idx="15">
                  <c:v>Total_Chargesheets</c:v>
                </c:pt>
                <c:pt idx="16">
                  <c:v>Total_Disposed</c:v>
                </c:pt>
                <c:pt idx="17">
                  <c:v>Quashed</c:v>
                </c:pt>
                <c:pt idx="18">
                  <c:v>Stayed</c:v>
                </c:pt>
                <c:pt idx="19">
                  <c:v>Pending_End_Year</c:v>
                </c:pt>
                <c:pt idx="20">
                  <c:v>Chargesheet_Rate</c:v>
                </c:pt>
                <c:pt idx="21">
                  <c:v>Pendency_Rate</c:v>
                </c:pt>
                <c:pt idx="22">
                  <c:v>Audit_Total</c:v>
                </c:pt>
                <c:pt idx="23">
                  <c:v>Disposal Efficiency ratio</c:v>
                </c:pt>
                <c:pt idx="24">
                  <c:v>False complaint Rate</c:v>
                </c:pt>
                <c:pt idx="25">
                  <c:v>Justice Gap</c:v>
                </c:pt>
                <c:pt idx="26">
                  <c:v>Chargesheet Rate(%)</c:v>
                </c:pt>
              </c:strCache>
            </c:strRef>
          </c:cat>
          <c:val>
            <c:numRef>
              <c:f>'Executive Dashboard'!$C$2:$AC$2</c:f>
              <c:numCache>
                <c:formatCode>General</c:formatCode>
                <c:ptCount val="27"/>
                <c:pt idx="0">
                  <c:v>171793</c:v>
                </c:pt>
                <c:pt idx="1">
                  <c:v>311354</c:v>
                </c:pt>
                <c:pt idx="2">
                  <c:v>137</c:v>
                </c:pt>
                <c:pt idx="3">
                  <c:v>483284</c:v>
                </c:pt>
                <c:pt idx="4">
                  <c:v>2</c:v>
                </c:pt>
                <c:pt idx="5">
                  <c:v>331</c:v>
                </c:pt>
                <c:pt idx="6">
                  <c:v>15</c:v>
                </c:pt>
                <c:pt idx="7">
                  <c:v>607</c:v>
                </c:pt>
                <c:pt idx="8">
                  <c:v>25314</c:v>
                </c:pt>
                <c:pt idx="9">
                  <c:v>27130</c:v>
                </c:pt>
                <c:pt idx="10">
                  <c:v>20738</c:v>
                </c:pt>
                <c:pt idx="11">
                  <c:v>703</c:v>
                </c:pt>
                <c:pt idx="12">
                  <c:v>74492</c:v>
                </c:pt>
                <c:pt idx="13">
                  <c:v>70601</c:v>
                </c:pt>
                <c:pt idx="14">
                  <c:v>166412</c:v>
                </c:pt>
                <c:pt idx="15">
                  <c:v>237013</c:v>
                </c:pt>
                <c:pt idx="16">
                  <c:v>311838</c:v>
                </c:pt>
                <c:pt idx="17">
                  <c:v>301</c:v>
                </c:pt>
                <c:pt idx="18">
                  <c:v>218</c:v>
                </c:pt>
                <c:pt idx="19">
                  <c:v>171130</c:v>
                </c:pt>
                <c:pt idx="20">
                  <c:v>76</c:v>
                </c:pt>
                <c:pt idx="21">
                  <c:v>35.4</c:v>
                </c:pt>
                <c:pt idx="22">
                  <c:v>1</c:v>
                </c:pt>
                <c:pt idx="23">
                  <c:v>0.6452479287541073</c:v>
                </c:pt>
                <c:pt idx="24">
                  <c:v>0.33982172582290715</c:v>
                </c:pt>
                <c:pt idx="25">
                  <c:v>-484</c:v>
                </c:pt>
                <c:pt idx="26" formatCode="0%">
                  <c:v>0.76005169350752633</c:v>
                </c:pt>
              </c:numCache>
            </c:numRef>
          </c:val>
          <c:extLst>
            <c:ext xmlns:c16="http://schemas.microsoft.com/office/drawing/2014/chart" uri="{C3380CC4-5D6E-409C-BE32-E72D297353CC}">
              <c16:uniqueId val="{00000000-B543-4742-ABF0-3FD3B7C1B8CF}"/>
            </c:ext>
          </c:extLst>
        </c:ser>
        <c:ser>
          <c:idx val="1"/>
          <c:order val="1"/>
          <c:tx>
            <c:strRef>
              <c:f>'Executive Dashboard'!$B$3</c:f>
              <c:strCache>
                <c:ptCount val="1"/>
                <c:pt idx="0">
                  <c:v>Total SLL Crimes against Women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'Executive Dashboard'!$C$1:$AC$1</c:f>
              <c:strCache>
                <c:ptCount val="27"/>
                <c:pt idx="0">
                  <c:v>Pending_Previous_Year</c:v>
                </c:pt>
                <c:pt idx="1">
                  <c:v>Cases_Reported</c:v>
                </c:pt>
                <c:pt idx="2">
                  <c:v>Cases_Reopened</c:v>
                </c:pt>
                <c:pt idx="3">
                  <c:v>Total_Cases_for_Investigation</c:v>
                </c:pt>
                <c:pt idx="4">
                  <c:v>Not_Investigated</c:v>
                </c:pt>
                <c:pt idx="5">
                  <c:v>Transferred</c:v>
                </c:pt>
                <c:pt idx="6">
                  <c:v>Withdrawn</c:v>
                </c:pt>
                <c:pt idx="7">
                  <c:v>FR_Non_Cognizable</c:v>
                </c:pt>
                <c:pt idx="8">
                  <c:v>FR_False</c:v>
                </c:pt>
                <c:pt idx="9">
                  <c:v>FR_Mistake_Civil</c:v>
                </c:pt>
                <c:pt idx="10">
                  <c:v>FR_Insufficient_Evidence</c:v>
                </c:pt>
                <c:pt idx="11">
                  <c:v>FR_Abated</c:v>
                </c:pt>
                <c:pt idx="12">
                  <c:v>Total_Final_Reports</c:v>
                </c:pt>
                <c:pt idx="13">
                  <c:v>Chargesheet_Prev_Year</c:v>
                </c:pt>
                <c:pt idx="14">
                  <c:v>Chargesheet_Current_Year</c:v>
                </c:pt>
                <c:pt idx="15">
                  <c:v>Total_Chargesheets</c:v>
                </c:pt>
                <c:pt idx="16">
                  <c:v>Total_Disposed</c:v>
                </c:pt>
                <c:pt idx="17">
                  <c:v>Quashed</c:v>
                </c:pt>
                <c:pt idx="18">
                  <c:v>Stayed</c:v>
                </c:pt>
                <c:pt idx="19">
                  <c:v>Pending_End_Year</c:v>
                </c:pt>
                <c:pt idx="20">
                  <c:v>Chargesheet_Rate</c:v>
                </c:pt>
                <c:pt idx="21">
                  <c:v>Pendency_Rate</c:v>
                </c:pt>
                <c:pt idx="22">
                  <c:v>Audit_Total</c:v>
                </c:pt>
                <c:pt idx="23">
                  <c:v>Disposal Efficiency ratio</c:v>
                </c:pt>
                <c:pt idx="24">
                  <c:v>False complaint Rate</c:v>
                </c:pt>
                <c:pt idx="25">
                  <c:v>Justice Gap</c:v>
                </c:pt>
                <c:pt idx="26">
                  <c:v>Chargesheet Rate(%)</c:v>
                </c:pt>
              </c:strCache>
            </c:strRef>
          </c:cat>
          <c:val>
            <c:numRef>
              <c:f>'Executive Dashboard'!$C$3:$AC$3</c:f>
              <c:numCache>
                <c:formatCode>General</c:formatCode>
                <c:ptCount val="27"/>
                <c:pt idx="0">
                  <c:v>29569</c:v>
                </c:pt>
                <c:pt idx="1">
                  <c:v>60149</c:v>
                </c:pt>
                <c:pt idx="2">
                  <c:v>47</c:v>
                </c:pt>
                <c:pt idx="3">
                  <c:v>89765</c:v>
                </c:pt>
                <c:pt idx="4">
                  <c:v>2</c:v>
                </c:pt>
                <c:pt idx="5">
                  <c:v>154</c:v>
                </c:pt>
                <c:pt idx="6">
                  <c:v>2</c:v>
                </c:pt>
                <c:pt idx="7">
                  <c:v>65</c:v>
                </c:pt>
                <c:pt idx="8">
                  <c:v>1135</c:v>
                </c:pt>
                <c:pt idx="9">
                  <c:v>955</c:v>
                </c:pt>
                <c:pt idx="10">
                  <c:v>2225</c:v>
                </c:pt>
                <c:pt idx="11">
                  <c:v>57</c:v>
                </c:pt>
                <c:pt idx="12">
                  <c:v>4437</c:v>
                </c:pt>
                <c:pt idx="13">
                  <c:v>13317</c:v>
                </c:pt>
                <c:pt idx="14">
                  <c:v>40973</c:v>
                </c:pt>
                <c:pt idx="15">
                  <c:v>54290</c:v>
                </c:pt>
                <c:pt idx="16">
                  <c:v>58883</c:v>
                </c:pt>
                <c:pt idx="17">
                  <c:v>27</c:v>
                </c:pt>
                <c:pt idx="18">
                  <c:v>21</c:v>
                </c:pt>
                <c:pt idx="19">
                  <c:v>30853</c:v>
                </c:pt>
                <c:pt idx="20">
                  <c:v>92.2</c:v>
                </c:pt>
                <c:pt idx="21">
                  <c:v>34.4</c:v>
                </c:pt>
                <c:pt idx="22">
                  <c:v>1</c:v>
                </c:pt>
                <c:pt idx="23">
                  <c:v>0.65596836183367679</c:v>
                </c:pt>
                <c:pt idx="24">
                  <c:v>0.25580347081361282</c:v>
                </c:pt>
                <c:pt idx="25">
                  <c:v>1266</c:v>
                </c:pt>
                <c:pt idx="26" formatCode="0%">
                  <c:v>0.92199786016337482</c:v>
                </c:pt>
              </c:numCache>
            </c:numRef>
          </c:val>
          <c:extLst>
            <c:ext xmlns:c16="http://schemas.microsoft.com/office/drawing/2014/chart" uri="{C3380CC4-5D6E-409C-BE32-E72D297353CC}">
              <c16:uniqueId val="{00000001-B543-4742-ABF0-3FD3B7C1B8CF}"/>
            </c:ext>
          </c:extLst>
        </c:ser>
        <c:ser>
          <c:idx val="2"/>
          <c:order val="2"/>
          <c:tx>
            <c:strRef>
              <c:f>'Executive Dashboard'!$B$4</c:f>
              <c:strCache>
                <c:ptCount val="1"/>
                <c:pt idx="0">
                  <c:v>Total Crime against Women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'Executive Dashboard'!$C$1:$AC$1</c:f>
              <c:strCache>
                <c:ptCount val="27"/>
                <c:pt idx="0">
                  <c:v>Pending_Previous_Year</c:v>
                </c:pt>
                <c:pt idx="1">
                  <c:v>Cases_Reported</c:v>
                </c:pt>
                <c:pt idx="2">
                  <c:v>Cases_Reopened</c:v>
                </c:pt>
                <c:pt idx="3">
                  <c:v>Total_Cases_for_Investigation</c:v>
                </c:pt>
                <c:pt idx="4">
                  <c:v>Not_Investigated</c:v>
                </c:pt>
                <c:pt idx="5">
                  <c:v>Transferred</c:v>
                </c:pt>
                <c:pt idx="6">
                  <c:v>Withdrawn</c:v>
                </c:pt>
                <c:pt idx="7">
                  <c:v>FR_Non_Cognizable</c:v>
                </c:pt>
                <c:pt idx="8">
                  <c:v>FR_False</c:v>
                </c:pt>
                <c:pt idx="9">
                  <c:v>FR_Mistake_Civil</c:v>
                </c:pt>
                <c:pt idx="10">
                  <c:v>FR_Insufficient_Evidence</c:v>
                </c:pt>
                <c:pt idx="11">
                  <c:v>FR_Abated</c:v>
                </c:pt>
                <c:pt idx="12">
                  <c:v>Total_Final_Reports</c:v>
                </c:pt>
                <c:pt idx="13">
                  <c:v>Chargesheet_Prev_Year</c:v>
                </c:pt>
                <c:pt idx="14">
                  <c:v>Chargesheet_Current_Year</c:v>
                </c:pt>
                <c:pt idx="15">
                  <c:v>Total_Chargesheets</c:v>
                </c:pt>
                <c:pt idx="16">
                  <c:v>Total_Disposed</c:v>
                </c:pt>
                <c:pt idx="17">
                  <c:v>Quashed</c:v>
                </c:pt>
                <c:pt idx="18">
                  <c:v>Stayed</c:v>
                </c:pt>
                <c:pt idx="19">
                  <c:v>Pending_End_Year</c:v>
                </c:pt>
                <c:pt idx="20">
                  <c:v>Chargesheet_Rate</c:v>
                </c:pt>
                <c:pt idx="21">
                  <c:v>Pendency_Rate</c:v>
                </c:pt>
                <c:pt idx="22">
                  <c:v>Audit_Total</c:v>
                </c:pt>
                <c:pt idx="23">
                  <c:v>Disposal Efficiency ratio</c:v>
                </c:pt>
                <c:pt idx="24">
                  <c:v>False complaint Rate</c:v>
                </c:pt>
                <c:pt idx="25">
                  <c:v>Justice Gap</c:v>
                </c:pt>
                <c:pt idx="26">
                  <c:v>Chargesheet Rate(%)</c:v>
                </c:pt>
              </c:strCache>
            </c:strRef>
          </c:cat>
          <c:val>
            <c:numRef>
              <c:f>'Executive Dashboard'!$C$4:$AC$4</c:f>
              <c:numCache>
                <c:formatCode>General</c:formatCode>
                <c:ptCount val="27"/>
                <c:pt idx="0">
                  <c:v>201362</c:v>
                </c:pt>
                <c:pt idx="1">
                  <c:v>371503</c:v>
                </c:pt>
                <c:pt idx="2">
                  <c:v>184</c:v>
                </c:pt>
                <c:pt idx="3">
                  <c:v>573049</c:v>
                </c:pt>
                <c:pt idx="4">
                  <c:v>4</c:v>
                </c:pt>
                <c:pt idx="5">
                  <c:v>485</c:v>
                </c:pt>
                <c:pt idx="6">
                  <c:v>17</c:v>
                </c:pt>
                <c:pt idx="7">
                  <c:v>672</c:v>
                </c:pt>
                <c:pt idx="8">
                  <c:v>26449</c:v>
                </c:pt>
                <c:pt idx="9">
                  <c:v>28085</c:v>
                </c:pt>
                <c:pt idx="10">
                  <c:v>22963</c:v>
                </c:pt>
                <c:pt idx="11">
                  <c:v>760</c:v>
                </c:pt>
                <c:pt idx="12">
                  <c:v>78929</c:v>
                </c:pt>
                <c:pt idx="13">
                  <c:v>83918</c:v>
                </c:pt>
                <c:pt idx="14">
                  <c:v>207385</c:v>
                </c:pt>
                <c:pt idx="15">
                  <c:v>291303</c:v>
                </c:pt>
                <c:pt idx="16">
                  <c:v>370721</c:v>
                </c:pt>
                <c:pt idx="17">
                  <c:v>328</c:v>
                </c:pt>
                <c:pt idx="18">
                  <c:v>239</c:v>
                </c:pt>
                <c:pt idx="19">
                  <c:v>201983</c:v>
                </c:pt>
                <c:pt idx="20">
                  <c:v>78.599999999999994</c:v>
                </c:pt>
                <c:pt idx="21">
                  <c:v>35.200000000000003</c:v>
                </c:pt>
                <c:pt idx="22">
                  <c:v>1</c:v>
                </c:pt>
                <c:pt idx="23">
                  <c:v>0.64692722611853437</c:v>
                </c:pt>
                <c:pt idx="24">
                  <c:v>0.33509863294859937</c:v>
                </c:pt>
                <c:pt idx="25">
                  <c:v>782</c:v>
                </c:pt>
                <c:pt idx="26" formatCode="0%">
                  <c:v>0.78577420755770511</c:v>
                </c:pt>
              </c:numCache>
            </c:numRef>
          </c:val>
          <c:extLst>
            <c:ext xmlns:c16="http://schemas.microsoft.com/office/drawing/2014/chart" uri="{C3380CC4-5D6E-409C-BE32-E72D297353CC}">
              <c16:uniqueId val="{00000002-B543-4742-ABF0-3FD3B7C1B8CF}"/>
            </c:ext>
          </c:extLst>
        </c:ser>
        <c:dLbls>
          <c:showLegendKey val="0"/>
          <c:showVal val="0"/>
          <c:showCatName val="0"/>
          <c:showSerName val="0"/>
          <c:showPercent val="0"/>
          <c:showBubbleSize val="0"/>
        </c:dLbls>
        <c:gapWidth val="115"/>
        <c:overlap val="-20"/>
        <c:axId val="1867782943"/>
        <c:axId val="1867780063"/>
      </c:barChart>
      <c:catAx>
        <c:axId val="18677829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780063"/>
        <c:crosses val="autoZero"/>
        <c:auto val="1"/>
        <c:lblAlgn val="ctr"/>
        <c:lblOffset val="100"/>
        <c:noMultiLvlLbl val="0"/>
      </c:catAx>
      <c:valAx>
        <c:axId val="1867780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782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algn="ctr" rtl="0">
              <a:defRPr/>
            </a:pPr>
            <a:r>
              <a:rPr lang="en-IN"/>
              <a:t>Justice Funnel</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funnel" uniqueId="{B8592914-F6BA-48F9-8D27-FCA6601F2006}">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15</xdr:col>
      <xdr:colOff>1173480</xdr:colOff>
      <xdr:row>9</xdr:row>
      <xdr:rowOff>61452</xdr:rowOff>
    </xdr:from>
    <xdr:to>
      <xdr:col>16</xdr:col>
      <xdr:colOff>1440180</xdr:colOff>
      <xdr:row>29</xdr:row>
      <xdr:rowOff>135194</xdr:rowOff>
    </xdr:to>
    <mc:AlternateContent xmlns:mc="http://schemas.openxmlformats.org/markup-compatibility/2006">
      <mc:Choice xmlns:sle15="http://schemas.microsoft.com/office/drawing/2012/slicer" Requires="sle15">
        <xdr:graphicFrame macro="">
          <xdr:nvGraphicFramePr>
            <xdr:cNvPr id="2" name="Crime_Category">
              <a:extLst>
                <a:ext uri="{FF2B5EF4-FFF2-40B4-BE49-F238E27FC236}">
                  <a16:creationId xmlns:a16="http://schemas.microsoft.com/office/drawing/2014/main" id="{3D44ECBA-9F38-171A-3017-3DB74A46806E}"/>
                </a:ext>
              </a:extLst>
            </xdr:cNvPr>
            <xdr:cNvGraphicFramePr/>
          </xdr:nvGraphicFramePr>
          <xdr:xfrm>
            <a:off x="0" y="0"/>
            <a:ext cx="0" cy="0"/>
          </xdr:xfrm>
          <a:graphic>
            <a:graphicData uri="http://schemas.microsoft.com/office/drawing/2010/slicer">
              <sle:slicer xmlns:sle="http://schemas.microsoft.com/office/drawing/2010/slicer" name="Crime_Category"/>
            </a:graphicData>
          </a:graphic>
        </xdr:graphicFrame>
      </mc:Choice>
      <mc:Fallback>
        <xdr:sp macro="" textlink="">
          <xdr:nvSpPr>
            <xdr:cNvPr id="0" name=""/>
            <xdr:cNvSpPr>
              <a:spLocks noTextEdit="1"/>
            </xdr:cNvSpPr>
          </xdr:nvSpPr>
          <xdr:spPr>
            <a:xfrm>
              <a:off x="18551996" y="1720646"/>
              <a:ext cx="1827571" cy="37608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25963</xdr:colOff>
      <xdr:row>4</xdr:row>
      <xdr:rowOff>76200</xdr:rowOff>
    </xdr:from>
    <xdr:to>
      <xdr:col>10</xdr:col>
      <xdr:colOff>476250</xdr:colOff>
      <xdr:row>28</xdr:row>
      <xdr:rowOff>145454</xdr:rowOff>
    </xdr:to>
    <xdr:graphicFrame macro="">
      <xdr:nvGraphicFramePr>
        <xdr:cNvPr id="2" name="Chart 1">
          <a:extLst>
            <a:ext uri="{FF2B5EF4-FFF2-40B4-BE49-F238E27FC236}">
              <a16:creationId xmlns:a16="http://schemas.microsoft.com/office/drawing/2014/main" id="{D6A07E1B-5B8F-2486-0D34-0072DC57A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510079</xdr:colOff>
      <xdr:row>4</xdr:row>
      <xdr:rowOff>76200</xdr:rowOff>
    </xdr:from>
    <xdr:to>
      <xdr:col>21</xdr:col>
      <xdr:colOff>447674</xdr:colOff>
      <xdr:row>28</xdr:row>
      <xdr:rowOff>133350</xdr:rowOff>
    </xdr:to>
    <xdr:graphicFrame macro="">
      <xdr:nvGraphicFramePr>
        <xdr:cNvPr id="3" name="Chart 2">
          <a:extLst>
            <a:ext uri="{FF2B5EF4-FFF2-40B4-BE49-F238E27FC236}">
              <a16:creationId xmlns:a16="http://schemas.microsoft.com/office/drawing/2014/main" id="{81DF71B8-4095-8C67-C3EA-BF534E312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76453</xdr:colOff>
      <xdr:row>28</xdr:row>
      <xdr:rowOff>97164</xdr:rowOff>
    </xdr:from>
    <xdr:to>
      <xdr:col>21</xdr:col>
      <xdr:colOff>401009</xdr:colOff>
      <xdr:row>43</xdr:row>
      <xdr:rowOff>88698</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DECCEE81-D3AB-ED5C-2840-7E38BC29A4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638870" y="5134831"/>
              <a:ext cx="4621389" cy="26902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ta" refreshedDate="46057.742317708333" createdVersion="8" refreshedVersion="8" minRefreshableVersion="3" recordCount="54" xr:uid="{A71AE980-EFDB-4DBC-BCEA-BC897BD5B4F5}">
  <cacheSource type="worksheet">
    <worksheetSource name="Table1"/>
  </cacheSource>
  <cacheFields count="28">
    <cacheField name="ID" numFmtId="0">
      <sharedItems containsMixedTypes="1" containsNumber="1" minValue="1" maxValue="21"/>
    </cacheField>
    <cacheField name="Crime_Category" numFmtId="0">
      <sharedItems count="46">
        <s v="Murder with Rape/Gang Rape"/>
        <s v="Dowry Deaths"/>
        <s v="Abetment to Suicide of Women"/>
        <s v="Miscarriage"/>
        <s v="Acid Attack"/>
        <s v="Attempt to Acid Attack"/>
        <s v="Cruelty by Husband or his relatives"/>
        <s v="Kidnapping and Abduction of Women"/>
        <s v="Kidnapping and Abduction"/>
        <s v="Kidnapping and Abduction in order to Murder"/>
        <s v="Kidnapping for Ransom"/>
        <s v="Kidnapping and Abduction of Women to compel her for marriage"/>
        <s v="Women"/>
        <s v="Girls"/>
        <s v="Procuration of Minor Girls"/>
        <s v="Importation of Girls from Foreign Country"/>
        <s v="Kidnapping and Abduction of Women â€“ Others"/>
        <s v="Human Trafficking"/>
        <s v="Selling of Minor Girls"/>
        <s v="Buying of Minor Girls"/>
        <s v="Rape"/>
        <s v="Attempt to Commit Rape"/>
        <s v="Assault on Women with Intent to Outrage her Modesty"/>
        <s v="Insult to the Modesty of Women"/>
        <s v="Total IPC Crimes against Women"/>
        <s v="Dowry Prohibition Act"/>
        <s v="Immoral Traffic (Prevention) Act"/>
        <s v="Procuring, inducing Children for the sake of prostitution"/>
        <s v="Detaining a person in premises where prostitution is carried on"/>
        <s v="Prostitution in or in the vicinity of public places"/>
        <s v="Seducing or soliciting for purpose of prostitution"/>
        <s v="Other Sections under ITP Act"/>
        <s v="Protection of Women from Domestic Violence Act"/>
        <s v="Cyber Crimes/Information Technology Act"/>
        <s v="Publishing or Transmitting of Sexually Explicit Material"/>
        <s v="Other Women Centric Cyber Crimes"/>
        <s v="Protection of Children from Sexual Offences Act"/>
        <s v="POCSO Act Section 4 &amp; 6"/>
        <s v="POCSO Act Section 8 &amp; 10"/>
        <s v="POCSO Act Section 12"/>
        <s v="POCSO Act Section 14 &amp; 15"/>
        <s v="POCSO Act Section 17,18,19"/>
        <s v="POCSO Act r/w Section 377 IPC"/>
        <s v="Indecent Representation of Women (Prohibition) Act"/>
        <s v="Total SLL Crimes against Women"/>
        <s v="Total Crime against Women"/>
      </sharedItems>
    </cacheField>
    <cacheField name="Pending_Previous_Year" numFmtId="0">
      <sharedItems containsSemiMixedTypes="0" containsString="0" containsNumber="1" containsInteger="1" minValue="11" maxValue="201362"/>
    </cacheField>
    <cacheField name="Cases_Reported" numFmtId="0">
      <sharedItems containsSemiMixedTypes="0" containsString="0" containsNumber="1" containsInteger="1" minValue="1" maxValue="371503"/>
    </cacheField>
    <cacheField name="Cases_Reopened" numFmtId="0">
      <sharedItems containsSemiMixedTypes="0" containsString="0" containsNumber="1" containsInteger="1" minValue="0" maxValue="184"/>
    </cacheField>
    <cacheField name="Total_Cases_for_Investigation" numFmtId="0">
      <sharedItems containsSemiMixedTypes="0" containsString="0" containsNumber="1" containsInteger="1" minValue="12" maxValue="573049"/>
    </cacheField>
    <cacheField name="Not_Investigated" numFmtId="0">
      <sharedItems containsSemiMixedTypes="0" containsString="0" containsNumber="1" containsInteger="1" minValue="0" maxValue="4"/>
    </cacheField>
    <cacheField name="Transferred" numFmtId="0">
      <sharedItems containsSemiMixedTypes="0" containsString="0" containsNumber="1" containsInteger="1" minValue="0" maxValue="485"/>
    </cacheField>
    <cacheField name="Withdrawn" numFmtId="0">
      <sharedItems containsSemiMixedTypes="0" containsString="0" containsNumber="1" containsInteger="1" minValue="0" maxValue="17"/>
    </cacheField>
    <cacheField name="FR_Non_Cognizable" numFmtId="0">
      <sharedItems containsSemiMixedTypes="0" containsString="0" containsNumber="1" containsInteger="1" minValue="0" maxValue="672"/>
    </cacheField>
    <cacheField name="FR_False" numFmtId="0">
      <sharedItems containsSemiMixedTypes="0" containsString="0" containsNumber="1" containsInteger="1" minValue="0" maxValue="26449"/>
    </cacheField>
    <cacheField name="FR_Mistake_Civil" numFmtId="0">
      <sharedItems containsSemiMixedTypes="0" containsString="0" containsNumber="1" containsInteger="1" minValue="0" maxValue="28085"/>
    </cacheField>
    <cacheField name="FR_Insufficient_Evidence" numFmtId="0">
      <sharedItems containsSemiMixedTypes="0" containsString="0" containsNumber="1" containsInteger="1" minValue="0" maxValue="22963"/>
    </cacheField>
    <cacheField name="FR_Abated" numFmtId="0">
      <sharedItems containsSemiMixedTypes="0" containsString="0" containsNumber="1" containsInteger="1" minValue="0" maxValue="760"/>
    </cacheField>
    <cacheField name="Total_Final_Reports" numFmtId="0">
      <sharedItems containsSemiMixedTypes="0" containsString="0" containsNumber="1" containsInteger="1" minValue="1" maxValue="78929"/>
    </cacheField>
    <cacheField name="Chargesheet_Prev_Year" numFmtId="0">
      <sharedItems containsSemiMixedTypes="0" containsString="0" containsNumber="1" containsInteger="1" minValue="4" maxValue="83918"/>
    </cacheField>
    <cacheField name="Chargesheet_Current_Year" numFmtId="0">
      <sharedItems containsSemiMixedTypes="0" containsString="0" containsNumber="1" containsInteger="1" minValue="0" maxValue="207385"/>
    </cacheField>
    <cacheField name="Total_Chargesheets" numFmtId="0">
      <sharedItems containsSemiMixedTypes="0" containsString="0" containsNumber="1" containsInteger="1" minValue="4" maxValue="291303"/>
    </cacheField>
    <cacheField name="Total_Disposed" numFmtId="0">
      <sharedItems containsSemiMixedTypes="0" containsString="0" containsNumber="1" containsInteger="1" minValue="8" maxValue="370721"/>
    </cacheField>
    <cacheField name="Quashed" numFmtId="0">
      <sharedItems containsSemiMixedTypes="0" containsString="0" containsNumber="1" containsInteger="1" minValue="0" maxValue="328"/>
    </cacheField>
    <cacheField name="Stayed" numFmtId="0">
      <sharedItems containsSemiMixedTypes="0" containsString="0" containsNumber="1" containsInteger="1" minValue="0" maxValue="239"/>
    </cacheField>
    <cacheField name="Pending_End_Year" numFmtId="0">
      <sharedItems containsSemiMixedTypes="0" containsString="0" containsNumber="1" containsInteger="1" minValue="4" maxValue="201983"/>
    </cacheField>
    <cacheField name="Chargesheet_Rate" numFmtId="0">
      <sharedItems containsSemiMixedTypes="0" containsString="0" containsNumber="1" minValue="28.5" maxValue="99.2"/>
    </cacheField>
    <cacheField name="Pendency_Rate" numFmtId="0">
      <sharedItems containsSemiMixedTypes="0" containsString="0" containsNumber="1" minValue="25.9" maxValue="82.8"/>
    </cacheField>
    <cacheField name="Audit_Total" numFmtId="0">
      <sharedItems/>
    </cacheField>
    <cacheField name="Disposal Efficiency ratio" numFmtId="0">
      <sharedItems containsSemiMixedTypes="0" containsString="0" containsNumber="1" minValue="0.17241379310344829" maxValue="0.74057142857142855"/>
    </cacheField>
    <cacheField name="False complaint Rate" numFmtId="0">
      <sharedItems containsSemiMixedTypes="0" containsString="0" containsNumber="1" minValue="0" maxValue="0.8"/>
    </cacheField>
    <cacheField name="Justice Gap" numFmtId="0">
      <sharedItems containsSemiMixedTypes="0" containsString="0" containsNumber="1" containsInteger="1" minValue="-1019" maxValue="126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n v="1"/>
    <x v="0"/>
    <n v="160"/>
    <n v="219"/>
    <n v="0"/>
    <n v="379"/>
    <n v="0"/>
    <n v="1"/>
    <n v="0"/>
    <n v="0"/>
    <n v="0"/>
    <n v="5"/>
    <n v="12"/>
    <n v="1"/>
    <n v="18"/>
    <n v="39"/>
    <n v="136"/>
    <n v="175"/>
    <n v="194"/>
    <n v="0"/>
    <n v="0"/>
    <n v="185"/>
    <n v="90.2"/>
    <n v="48.8"/>
    <b v="0"/>
    <n v="0.51187335092348285"/>
    <n v="0"/>
    <n v="25"/>
  </r>
  <r>
    <n v="2"/>
    <x v="1"/>
    <n v="3452"/>
    <n v="6966"/>
    <n v="3"/>
    <n v="10421"/>
    <n v="0"/>
    <n v="7"/>
    <n v="0"/>
    <n v="10"/>
    <n v="218"/>
    <n v="170"/>
    <n v="250"/>
    <n v="6"/>
    <n v="654"/>
    <n v="1720"/>
    <n v="4389"/>
    <n v="6109"/>
    <n v="6770"/>
    <n v="0"/>
    <n v="0"/>
    <n v="3651"/>
    <n v="90.2"/>
    <n v="35"/>
    <b v="0"/>
    <n v="0.64964974570578637"/>
    <n v="0.33333333333333331"/>
    <n v="196"/>
  </r>
  <r>
    <n v="3"/>
    <x v="2"/>
    <n v="3120"/>
    <n v="5040"/>
    <n v="14"/>
    <n v="8174"/>
    <n v="1"/>
    <n v="7"/>
    <n v="1"/>
    <n v="1"/>
    <n v="164"/>
    <n v="91"/>
    <n v="123"/>
    <n v="22"/>
    <n v="401"/>
    <n v="1331"/>
    <n v="2858"/>
    <n v="4189"/>
    <n v="4598"/>
    <n v="6"/>
    <n v="3"/>
    <n v="3569"/>
    <n v="91.1"/>
    <n v="43.7"/>
    <b v="0"/>
    <n v="0.56251529239050646"/>
    <n v="0.40897755610972569"/>
    <n v="442"/>
  </r>
  <r>
    <n v="4"/>
    <x v="3"/>
    <n v="130"/>
    <n v="239"/>
    <n v="1"/>
    <n v="370"/>
    <n v="0"/>
    <n v="0"/>
    <n v="0"/>
    <n v="0"/>
    <n v="7"/>
    <n v="7"/>
    <n v="100"/>
    <n v="0"/>
    <n v="114"/>
    <n v="19"/>
    <n v="85"/>
    <n v="104"/>
    <n v="218"/>
    <n v="0"/>
    <n v="1"/>
    <n v="152"/>
    <n v="47.7"/>
    <n v="41.1"/>
    <b v="0"/>
    <n v="0.58918918918918917"/>
    <n v="6.1403508771929821E-2"/>
    <n v="21"/>
  </r>
  <r>
    <n v="5"/>
    <x v="4"/>
    <n v="58"/>
    <n v="105"/>
    <n v="0"/>
    <n v="163"/>
    <n v="0"/>
    <n v="0"/>
    <n v="0"/>
    <n v="0"/>
    <n v="6"/>
    <n v="1"/>
    <n v="7"/>
    <n v="1"/>
    <n v="15"/>
    <n v="23"/>
    <n v="68"/>
    <n v="91"/>
    <n v="106"/>
    <n v="0"/>
    <n v="0"/>
    <n v="57"/>
    <n v="85.8"/>
    <n v="35"/>
    <b v="0"/>
    <n v="0.65030674846625769"/>
    <n v="0.4"/>
    <n v="-1"/>
  </r>
  <r>
    <n v="6"/>
    <x v="5"/>
    <n v="31"/>
    <n v="33"/>
    <n v="0"/>
    <n v="64"/>
    <n v="0"/>
    <n v="0"/>
    <n v="0"/>
    <n v="0"/>
    <n v="1"/>
    <n v="0"/>
    <n v="4"/>
    <n v="0"/>
    <n v="5"/>
    <n v="7"/>
    <n v="17"/>
    <n v="24"/>
    <n v="29"/>
    <n v="1"/>
    <n v="0"/>
    <n v="34"/>
    <n v="82.8"/>
    <n v="53.1"/>
    <b v="0"/>
    <n v="0.453125"/>
    <n v="0.2"/>
    <n v="4"/>
  </r>
  <r>
    <n v="7"/>
    <x v="6"/>
    <n v="55499"/>
    <n v="111549"/>
    <n v="19"/>
    <n v="167067"/>
    <n v="1"/>
    <n v="143"/>
    <n v="3"/>
    <n v="122"/>
    <n v="5520"/>
    <n v="4832"/>
    <n v="5489"/>
    <n v="188"/>
    <n v="16151"/>
    <n v="29367"/>
    <n v="66786"/>
    <n v="96153"/>
    <n v="112448"/>
    <n v="174"/>
    <n v="99"/>
    <n v="54442"/>
    <n v="85.5"/>
    <n v="32.6"/>
    <b v="0"/>
    <n v="0.67307128277876538"/>
    <n v="0.3417745031267414"/>
    <n v="-899"/>
  </r>
  <r>
    <n v="8"/>
    <x v="7"/>
    <n v="51843"/>
    <n v="62300"/>
    <n v="21"/>
    <n v="114164"/>
    <n v="0"/>
    <n v="28"/>
    <n v="8"/>
    <n v="162"/>
    <n v="9247"/>
    <n v="18878"/>
    <n v="9377"/>
    <n v="233"/>
    <n v="37897"/>
    <n v="7938"/>
    <n v="15872"/>
    <n v="23810"/>
    <n v="61735"/>
    <n v="43"/>
    <n v="35"/>
    <n v="52378"/>
    <n v="38.6"/>
    <n v="45.9"/>
    <b v="0"/>
    <n v="0.54075715637153565"/>
    <n v="0.24400348312531334"/>
    <n v="565"/>
  </r>
  <r>
    <n v="8.1"/>
    <x v="8"/>
    <n v="21777"/>
    <n v="28787"/>
    <n v="3"/>
    <n v="50567"/>
    <n v="0"/>
    <n v="22"/>
    <n v="6"/>
    <n v="23"/>
    <n v="4406"/>
    <n v="12671"/>
    <n v="3479"/>
    <n v="161"/>
    <n v="20740"/>
    <n v="2543"/>
    <n v="5739"/>
    <n v="8282"/>
    <n v="29044"/>
    <n v="31"/>
    <n v="5"/>
    <n v="21486"/>
    <n v="28.5"/>
    <n v="42.5"/>
    <b v="0"/>
    <n v="0.57436668182806971"/>
    <n v="0.21243972999035679"/>
    <n v="-257"/>
  </r>
  <r>
    <n v="8.1999999999999993"/>
    <x v="9"/>
    <n v="162"/>
    <n v="78"/>
    <n v="0"/>
    <n v="240"/>
    <n v="0"/>
    <n v="0"/>
    <n v="0"/>
    <n v="0"/>
    <n v="4"/>
    <n v="15"/>
    <n v="43"/>
    <n v="0"/>
    <n v="62"/>
    <n v="33"/>
    <n v="29"/>
    <n v="62"/>
    <n v="124"/>
    <n v="0"/>
    <n v="0"/>
    <n v="116"/>
    <n v="50"/>
    <n v="48.3"/>
    <b v="0"/>
    <n v="0.51666666666666672"/>
    <n v="6.4516129032258063E-2"/>
    <n v="-46"/>
  </r>
  <r>
    <n v="8.3000000000000007"/>
    <x v="10"/>
    <n v="109"/>
    <n v="58"/>
    <n v="0"/>
    <n v="167"/>
    <n v="0"/>
    <n v="0"/>
    <n v="0"/>
    <n v="0"/>
    <n v="3"/>
    <n v="12"/>
    <n v="12"/>
    <n v="0"/>
    <n v="27"/>
    <n v="28"/>
    <n v="28"/>
    <n v="56"/>
    <n v="83"/>
    <n v="1"/>
    <n v="0"/>
    <n v="83"/>
    <n v="67.5"/>
    <n v="49.7"/>
    <b v="0"/>
    <n v="0.49700598802395207"/>
    <n v="0.1111111111111111"/>
    <n v="-25"/>
  </r>
  <r>
    <n v="8.4"/>
    <x v="11"/>
    <n v="22039"/>
    <n v="24745"/>
    <n v="11"/>
    <n v="46795"/>
    <n v="0"/>
    <n v="3"/>
    <n v="1"/>
    <n v="139"/>
    <n v="3109"/>
    <n v="4301"/>
    <n v="5006"/>
    <n v="48"/>
    <n v="12603"/>
    <n v="4167"/>
    <n v="7701"/>
    <n v="11868"/>
    <n v="24474"/>
    <n v="7"/>
    <n v="29"/>
    <n v="22313"/>
    <n v="48.5"/>
    <n v="47.7"/>
    <b v="0"/>
    <n v="0.52300459450796022"/>
    <n v="0.24668729667539474"/>
    <n v="271"/>
  </r>
  <r>
    <s v="8.4.1"/>
    <x v="12"/>
    <n v="12777"/>
    <n v="13641"/>
    <n v="4"/>
    <n v="26422"/>
    <n v="0"/>
    <n v="2"/>
    <n v="0"/>
    <n v="137"/>
    <n v="1777"/>
    <n v="2206"/>
    <n v="3021"/>
    <n v="43"/>
    <n v="7184"/>
    <n v="2068"/>
    <n v="3878"/>
    <n v="5946"/>
    <n v="13132"/>
    <n v="4"/>
    <n v="13"/>
    <n v="13286"/>
    <n v="45.3"/>
    <n v="50.3"/>
    <b v="0"/>
    <n v="0.49701006736810233"/>
    <n v="0.24735523385300667"/>
    <n v="509"/>
  </r>
  <r>
    <s v="8.4.2"/>
    <x v="13"/>
    <n v="9262"/>
    <n v="11104"/>
    <n v="7"/>
    <n v="20373"/>
    <n v="0"/>
    <n v="1"/>
    <n v="1"/>
    <n v="2"/>
    <n v="1332"/>
    <n v="2095"/>
    <n v="1985"/>
    <n v="5"/>
    <n v="5419"/>
    <n v="2099"/>
    <n v="3823"/>
    <n v="5922"/>
    <n v="11342"/>
    <n v="3"/>
    <n v="16"/>
    <n v="9027"/>
    <n v="52.2"/>
    <n v="44.3"/>
    <b v="0"/>
    <n v="0.55671722377656707"/>
    <n v="0.24580180845174388"/>
    <n v="-238"/>
  </r>
  <r>
    <n v="8.5"/>
    <x v="14"/>
    <n v="2881"/>
    <n v="2471"/>
    <n v="1"/>
    <n v="5353"/>
    <n v="0"/>
    <n v="1"/>
    <n v="0"/>
    <n v="0"/>
    <n v="627"/>
    <n v="277"/>
    <n v="327"/>
    <n v="9"/>
    <n v="1240"/>
    <n v="478"/>
    <n v="703"/>
    <n v="1181"/>
    <n v="2422"/>
    <n v="0"/>
    <n v="0"/>
    <n v="2931"/>
    <n v="48.8"/>
    <n v="54.8"/>
    <b v="0"/>
    <n v="0.45245656641135812"/>
    <n v="0.50564516129032255"/>
    <n v="49"/>
  </r>
  <r>
    <n v="8.6"/>
    <x v="15"/>
    <n v="11"/>
    <n v="1"/>
    <n v="0"/>
    <n v="12"/>
    <n v="0"/>
    <n v="0"/>
    <n v="0"/>
    <n v="0"/>
    <n v="0"/>
    <n v="4"/>
    <n v="0"/>
    <n v="0"/>
    <n v="4"/>
    <n v="4"/>
    <n v="0"/>
    <n v="4"/>
    <n v="8"/>
    <n v="0"/>
    <n v="0"/>
    <n v="4"/>
    <n v="50"/>
    <n v="33.299999999999997"/>
    <b v="0"/>
    <n v="0.66666666666666663"/>
    <n v="0"/>
    <n v="-7"/>
  </r>
  <r>
    <n v="8.6999999999999993"/>
    <x v="16"/>
    <n v="4864"/>
    <n v="6160"/>
    <n v="6"/>
    <n v="11030"/>
    <n v="0"/>
    <n v="2"/>
    <n v="1"/>
    <n v="0"/>
    <n v="1098"/>
    <n v="1598"/>
    <n v="510"/>
    <n v="15"/>
    <n v="3221"/>
    <n v="685"/>
    <n v="1672"/>
    <n v="2357"/>
    <n v="5580"/>
    <n v="4"/>
    <n v="1"/>
    <n v="5445"/>
    <n v="42.2"/>
    <n v="49.4"/>
    <b v="0"/>
    <n v="0.50589301903898454"/>
    <n v="0.34088792300527787"/>
    <n v="580"/>
  </r>
  <r>
    <n v="9"/>
    <x v="17"/>
    <n v="724"/>
    <n v="646"/>
    <n v="2"/>
    <n v="1372"/>
    <n v="0"/>
    <n v="3"/>
    <n v="0"/>
    <n v="0"/>
    <n v="9"/>
    <n v="31"/>
    <n v="23"/>
    <n v="7"/>
    <n v="70"/>
    <n v="325"/>
    <n v="315"/>
    <n v="640"/>
    <n v="713"/>
    <n v="0"/>
    <n v="0"/>
    <n v="659"/>
    <n v="89.8"/>
    <n v="48"/>
    <b v="0"/>
    <n v="0.51967930029154519"/>
    <n v="0.12857142857142856"/>
    <n v="-67"/>
  </r>
  <r>
    <n v="10"/>
    <x v="18"/>
    <n v="75"/>
    <n v="12"/>
    <n v="0"/>
    <n v="87"/>
    <n v="0"/>
    <n v="0"/>
    <n v="0"/>
    <n v="0"/>
    <n v="1"/>
    <n v="1"/>
    <n v="0"/>
    <n v="0"/>
    <n v="2"/>
    <n v="8"/>
    <n v="5"/>
    <n v="13"/>
    <n v="15"/>
    <n v="0"/>
    <n v="0"/>
    <n v="72"/>
    <n v="86.7"/>
    <n v="82.8"/>
    <b v="0"/>
    <n v="0.17241379310344829"/>
    <n v="0.5"/>
    <n v="-3"/>
  </r>
  <r>
    <n v="11"/>
    <x v="19"/>
    <n v="25"/>
    <n v="1"/>
    <n v="0"/>
    <n v="26"/>
    <n v="0"/>
    <n v="0"/>
    <n v="0"/>
    <n v="0"/>
    <n v="0"/>
    <n v="2"/>
    <n v="0"/>
    <n v="0"/>
    <n v="2"/>
    <n v="6"/>
    <n v="1"/>
    <n v="7"/>
    <n v="9"/>
    <n v="0"/>
    <n v="0"/>
    <n v="17"/>
    <n v="77.8"/>
    <n v="65.400000000000006"/>
    <b v="0"/>
    <n v="0.34615384615384615"/>
    <n v="0"/>
    <n v="-8"/>
  </r>
  <r>
    <n v="12"/>
    <x v="20"/>
    <n v="15097"/>
    <n v="28046"/>
    <n v="53"/>
    <n v="43196"/>
    <n v="0"/>
    <n v="100"/>
    <n v="2"/>
    <n v="48"/>
    <n v="3375"/>
    <n v="571"/>
    <n v="987"/>
    <n v="34"/>
    <n v="5015"/>
    <n v="7161"/>
    <n v="16532"/>
    <n v="23693"/>
    <n v="28808"/>
    <n v="38"/>
    <n v="34"/>
    <n v="14348"/>
    <n v="82.2"/>
    <n v="33.200000000000003"/>
    <b v="0"/>
    <n v="0.66691360311139924"/>
    <n v="0.67298105682951148"/>
    <n v="-762"/>
  </r>
  <r>
    <n v="12.1"/>
    <x v="12"/>
    <n v="12296"/>
    <n v="25406"/>
    <n v="53"/>
    <n v="37755"/>
    <n v="0"/>
    <n v="95"/>
    <n v="2"/>
    <n v="48"/>
    <n v="3050"/>
    <n v="510"/>
    <n v="935"/>
    <n v="32"/>
    <n v="4575"/>
    <n v="5658"/>
    <n v="14821"/>
    <n v="20479"/>
    <n v="25149"/>
    <n v="37"/>
    <n v="34"/>
    <n v="12567"/>
    <n v="81.400000000000006"/>
    <n v="33.299999999999997"/>
    <b v="0"/>
    <n v="0.66611044894715932"/>
    <n v="0.66666666666666663"/>
    <n v="257"/>
  </r>
  <r>
    <n v="12.2"/>
    <x v="13"/>
    <n v="2801"/>
    <n v="2640"/>
    <n v="0"/>
    <n v="5441"/>
    <n v="0"/>
    <n v="5"/>
    <n v="0"/>
    <n v="0"/>
    <n v="325"/>
    <n v="61"/>
    <n v="52"/>
    <n v="2"/>
    <n v="440"/>
    <n v="1503"/>
    <n v="1711"/>
    <n v="3214"/>
    <n v="3659"/>
    <n v="1"/>
    <n v="0"/>
    <n v="1781"/>
    <n v="87.8"/>
    <n v="32.700000000000003"/>
    <b v="0"/>
    <n v="0.67248667524352146"/>
    <n v="0.73863636363636365"/>
    <n v="-1019"/>
  </r>
  <r>
    <n v="13"/>
    <x v="21"/>
    <n v="1796"/>
    <n v="3741"/>
    <n v="1"/>
    <n v="5538"/>
    <n v="0"/>
    <n v="3"/>
    <n v="0"/>
    <n v="6"/>
    <n v="631"/>
    <n v="90"/>
    <n v="212"/>
    <n v="6"/>
    <n v="945"/>
    <n v="816"/>
    <n v="1980"/>
    <n v="2796"/>
    <n v="3744"/>
    <n v="0"/>
    <n v="2"/>
    <n v="1794"/>
    <n v="74.7"/>
    <n v="32.4"/>
    <b v="0"/>
    <n v="0.676056338028169"/>
    <n v="0.66772486772486772"/>
    <n v="-3"/>
  </r>
  <r>
    <n v="13.1"/>
    <x v="12"/>
    <n v="1556"/>
    <n v="3446"/>
    <n v="0"/>
    <n v="5002"/>
    <n v="0"/>
    <n v="3"/>
    <n v="0"/>
    <n v="6"/>
    <n v="595"/>
    <n v="87"/>
    <n v="192"/>
    <n v="3"/>
    <n v="883"/>
    <n v="732"/>
    <n v="1802"/>
    <n v="2534"/>
    <n v="3420"/>
    <n v="0"/>
    <n v="1"/>
    <n v="1582"/>
    <n v="74.099999999999994"/>
    <n v="31.6"/>
    <b v="0"/>
    <n v="0.68372650939624147"/>
    <n v="0.67383918459796155"/>
    <n v="26"/>
  </r>
  <r>
    <n v="13.2"/>
    <x v="13"/>
    <n v="240"/>
    <n v="295"/>
    <n v="1"/>
    <n v="536"/>
    <n v="0"/>
    <n v="0"/>
    <n v="0"/>
    <n v="0"/>
    <n v="36"/>
    <n v="3"/>
    <n v="20"/>
    <n v="3"/>
    <n v="62"/>
    <n v="84"/>
    <n v="178"/>
    <n v="262"/>
    <n v="324"/>
    <n v="0"/>
    <n v="1"/>
    <n v="212"/>
    <n v="80.900000000000006"/>
    <n v="39.6"/>
    <b v="0"/>
    <n v="0.60447761194029848"/>
    <n v="0.58064516129032262"/>
    <n v="-29"/>
  </r>
  <r>
    <n v="14"/>
    <x v="22"/>
    <n v="35294"/>
    <n v="85392"/>
    <n v="14"/>
    <n v="120700"/>
    <n v="0"/>
    <n v="38"/>
    <n v="1"/>
    <n v="253"/>
    <n v="5821"/>
    <n v="2317"/>
    <n v="3848"/>
    <n v="187"/>
    <n v="12426"/>
    <n v="20026"/>
    <n v="53584"/>
    <n v="73610"/>
    <n v="86074"/>
    <n v="38"/>
    <n v="39"/>
    <n v="34587"/>
    <n v="85.5"/>
    <n v="28.7"/>
    <b v="0"/>
    <n v="0.71312344656172333"/>
    <n v="0.46845324319974246"/>
    <n v="-682"/>
  </r>
  <r>
    <n v="14.1"/>
    <x v="12"/>
    <n v="33523"/>
    <n v="81282"/>
    <n v="9"/>
    <n v="114814"/>
    <n v="0"/>
    <n v="38"/>
    <n v="1"/>
    <n v="251"/>
    <n v="5502"/>
    <n v="2249"/>
    <n v="3678"/>
    <n v="162"/>
    <n v="11842"/>
    <n v="19061"/>
    <n v="51003"/>
    <n v="70064"/>
    <n v="81944"/>
    <n v="36"/>
    <n v="38"/>
    <n v="32833"/>
    <n v="85.5"/>
    <n v="28.6"/>
    <b v="0"/>
    <n v="0.71371087149650736"/>
    <n v="0.46461746326634012"/>
    <n v="-662"/>
  </r>
  <r>
    <n v="14.2"/>
    <x v="13"/>
    <n v="1771"/>
    <n v="4110"/>
    <n v="5"/>
    <n v="5886"/>
    <n v="0"/>
    <n v="0"/>
    <n v="0"/>
    <n v="2"/>
    <n v="319"/>
    <n v="68"/>
    <n v="170"/>
    <n v="25"/>
    <n v="584"/>
    <n v="965"/>
    <n v="2581"/>
    <n v="3546"/>
    <n v="4130"/>
    <n v="2"/>
    <n v="1"/>
    <n v="1754"/>
    <n v="85.9"/>
    <n v="29.8"/>
    <b v="0"/>
    <n v="0.70166496772001363"/>
    <n v="0.54623287671232879"/>
    <n v="-20"/>
  </r>
  <r>
    <n v="15"/>
    <x v="23"/>
    <n v="4489"/>
    <n v="7065"/>
    <n v="9"/>
    <n v="11563"/>
    <n v="0"/>
    <n v="1"/>
    <n v="0"/>
    <n v="5"/>
    <n v="314"/>
    <n v="134"/>
    <n v="306"/>
    <n v="18"/>
    <n v="777"/>
    <n v="1815"/>
    <n v="3784"/>
    <n v="5599"/>
    <n v="6377"/>
    <n v="1"/>
    <n v="5"/>
    <n v="5185"/>
    <n v="87.8"/>
    <n v="44.8"/>
    <b v="0"/>
    <n v="0.55150047565510685"/>
    <n v="0.40411840411840411"/>
    <n v="688"/>
  </r>
  <r>
    <n v="15.1"/>
    <x v="12"/>
    <n v="4369"/>
    <n v="6933"/>
    <n v="9"/>
    <n v="11311"/>
    <n v="0"/>
    <n v="1"/>
    <n v="0"/>
    <n v="5"/>
    <n v="306"/>
    <n v="119"/>
    <n v="299"/>
    <n v="18"/>
    <n v="747"/>
    <n v="1781"/>
    <n v="3703"/>
    <n v="5484"/>
    <n v="6232"/>
    <n v="1"/>
    <n v="5"/>
    <n v="5078"/>
    <n v="88"/>
    <n v="44.9"/>
    <b v="0"/>
    <n v="0.5509680841658563"/>
    <n v="0.40963855421686746"/>
    <n v="701"/>
  </r>
  <r>
    <n v="15.2"/>
    <x v="13"/>
    <n v="120"/>
    <n v="132"/>
    <n v="0"/>
    <n v="252"/>
    <n v="0"/>
    <n v="0"/>
    <n v="0"/>
    <n v="0"/>
    <n v="8"/>
    <n v="15"/>
    <n v="7"/>
    <n v="0"/>
    <n v="30"/>
    <n v="34"/>
    <n v="81"/>
    <n v="115"/>
    <n v="145"/>
    <n v="0"/>
    <n v="0"/>
    <n v="107"/>
    <n v="79.3"/>
    <n v="42.5"/>
    <b v="0"/>
    <n v="0.57539682539682535"/>
    <n v="0.26666666666666666"/>
    <n v="-13"/>
  </r>
  <r>
    <s v="Total IPC Crimes against Women"/>
    <x v="24"/>
    <n v="171793"/>
    <n v="311354"/>
    <n v="137"/>
    <n v="483284"/>
    <n v="2"/>
    <n v="331"/>
    <n v="15"/>
    <n v="607"/>
    <n v="25314"/>
    <n v="27130"/>
    <n v="20738"/>
    <n v="703"/>
    <n v="74492"/>
    <n v="70601"/>
    <n v="166412"/>
    <n v="237013"/>
    <n v="311838"/>
    <n v="301"/>
    <n v="218"/>
    <n v="171130"/>
    <n v="76"/>
    <n v="35.4"/>
    <b v="1"/>
    <n v="0.6452479287541073"/>
    <n v="0.33982172582290715"/>
    <n v="-484"/>
  </r>
  <r>
    <n v="16"/>
    <x v="25"/>
    <n v="7484"/>
    <n v="10366"/>
    <n v="4"/>
    <n v="17854"/>
    <n v="0"/>
    <n v="61"/>
    <n v="0"/>
    <n v="29"/>
    <n v="297"/>
    <n v="436"/>
    <n v="703"/>
    <n v="1"/>
    <n v="1466"/>
    <n v="3093"/>
    <n v="5511"/>
    <n v="8604"/>
    <n v="10131"/>
    <n v="4"/>
    <n v="16"/>
    <n v="7719"/>
    <n v="84.9"/>
    <n v="43.2"/>
    <b v="0"/>
    <n v="0.56743586871289342"/>
    <n v="0.20259208731241474"/>
    <n v="235"/>
  </r>
  <r>
    <n v="17"/>
    <x v="26"/>
    <n v="1595"/>
    <n v="868"/>
    <n v="1"/>
    <n v="2464"/>
    <n v="0"/>
    <n v="1"/>
    <n v="0"/>
    <n v="0"/>
    <n v="12"/>
    <n v="4"/>
    <n v="11"/>
    <n v="0"/>
    <n v="27"/>
    <n v="429"/>
    <n v="442"/>
    <n v="871"/>
    <n v="899"/>
    <n v="0"/>
    <n v="0"/>
    <n v="1565"/>
    <n v="96.9"/>
    <n v="63.5"/>
    <b v="0"/>
    <n v="0.36485389610389612"/>
    <n v="0.44444444444444442"/>
    <n v="-31"/>
  </r>
  <r>
    <n v="17.100000000000001"/>
    <x v="27"/>
    <n v="765"/>
    <n v="210"/>
    <n v="0"/>
    <n v="975"/>
    <n v="0"/>
    <n v="0"/>
    <n v="0"/>
    <n v="0"/>
    <n v="9"/>
    <n v="3"/>
    <n v="1"/>
    <n v="0"/>
    <n v="13"/>
    <n v="79"/>
    <n v="99"/>
    <n v="178"/>
    <n v="191"/>
    <n v="0"/>
    <n v="0"/>
    <n v="784"/>
    <n v="93.2"/>
    <n v="80.400000000000006"/>
    <b v="0"/>
    <n v="0.19589743589743588"/>
    <n v="0.69230769230769229"/>
    <n v="19"/>
  </r>
  <r>
    <n v="17.2"/>
    <x v="28"/>
    <n v="111"/>
    <n v="232"/>
    <n v="1"/>
    <n v="344"/>
    <n v="0"/>
    <n v="0"/>
    <n v="0"/>
    <n v="0"/>
    <n v="0"/>
    <n v="0"/>
    <n v="1"/>
    <n v="0"/>
    <n v="1"/>
    <n v="30"/>
    <n v="92"/>
    <n v="122"/>
    <n v="123"/>
    <n v="0"/>
    <n v="0"/>
    <n v="221"/>
    <n v="99.2"/>
    <n v="64.2"/>
    <b v="0"/>
    <n v="0.35755813953488375"/>
    <n v="0"/>
    <n v="109"/>
  </r>
  <r>
    <n v="17.3"/>
    <x v="29"/>
    <n v="112"/>
    <n v="112"/>
    <n v="0"/>
    <n v="224"/>
    <n v="0"/>
    <n v="0"/>
    <n v="0"/>
    <n v="0"/>
    <n v="0"/>
    <n v="0"/>
    <n v="1"/>
    <n v="0"/>
    <n v="1"/>
    <n v="43"/>
    <n v="73"/>
    <n v="116"/>
    <n v="117"/>
    <n v="0"/>
    <n v="0"/>
    <n v="107"/>
    <n v="99.1"/>
    <n v="47.8"/>
    <b v="0"/>
    <n v="0.5223214285714286"/>
    <n v="0"/>
    <n v="-5"/>
  </r>
  <r>
    <n v="17.399999999999999"/>
    <x v="30"/>
    <n v="20"/>
    <n v="30"/>
    <n v="0"/>
    <n v="50"/>
    <n v="0"/>
    <n v="0"/>
    <n v="0"/>
    <n v="0"/>
    <n v="0"/>
    <n v="0"/>
    <n v="1"/>
    <n v="0"/>
    <n v="1"/>
    <n v="10"/>
    <n v="22"/>
    <n v="32"/>
    <n v="33"/>
    <n v="0"/>
    <n v="0"/>
    <n v="17"/>
    <n v="97"/>
    <n v="34"/>
    <b v="0"/>
    <n v="0.66"/>
    <n v="0"/>
    <n v="-3"/>
  </r>
  <r>
    <n v="17.5"/>
    <x v="31"/>
    <n v="587"/>
    <n v="284"/>
    <n v="0"/>
    <n v="871"/>
    <n v="0"/>
    <n v="1"/>
    <n v="0"/>
    <n v="0"/>
    <n v="3"/>
    <n v="1"/>
    <n v="7"/>
    <n v="0"/>
    <n v="11"/>
    <n v="267"/>
    <n v="156"/>
    <n v="423"/>
    <n v="435"/>
    <n v="0"/>
    <n v="0"/>
    <n v="436"/>
    <n v="97.2"/>
    <n v="50.1"/>
    <b v="0"/>
    <n v="0.49942594718714123"/>
    <n v="0.27272727272727271"/>
    <n v="-151"/>
  </r>
  <r>
    <n v="18"/>
    <x v="32"/>
    <n v="277"/>
    <n v="446"/>
    <n v="0"/>
    <n v="723"/>
    <n v="0"/>
    <n v="0"/>
    <n v="0"/>
    <n v="0"/>
    <n v="12"/>
    <n v="2"/>
    <n v="1"/>
    <n v="0"/>
    <n v="15"/>
    <n v="43"/>
    <n v="317"/>
    <n v="360"/>
    <n v="375"/>
    <n v="0"/>
    <n v="0"/>
    <n v="348"/>
    <n v="96"/>
    <n v="48.1"/>
    <b v="0"/>
    <n v="0.51867219917012453"/>
    <n v="0.8"/>
    <n v="71"/>
  </r>
  <r>
    <n v="19"/>
    <x v="33"/>
    <n v="1684"/>
    <n v="2334"/>
    <n v="4"/>
    <n v="4022"/>
    <n v="0"/>
    <n v="6"/>
    <n v="0"/>
    <n v="1"/>
    <n v="67"/>
    <n v="62"/>
    <n v="444"/>
    <n v="4"/>
    <n v="578"/>
    <n v="141"/>
    <n v="665"/>
    <n v="806"/>
    <n v="1390"/>
    <n v="3"/>
    <n v="0"/>
    <n v="2629"/>
    <n v="58"/>
    <n v="65.400000000000006"/>
    <b v="0"/>
    <n v="0.34559920437593239"/>
    <n v="0.11591695501730104"/>
    <n v="944"/>
  </r>
  <r>
    <n v="19.100000000000001"/>
    <x v="34"/>
    <n v="1131"/>
    <n v="1655"/>
    <n v="0"/>
    <n v="2786"/>
    <n v="0"/>
    <n v="6"/>
    <n v="0"/>
    <n v="1"/>
    <n v="50"/>
    <n v="43"/>
    <n v="289"/>
    <n v="4"/>
    <n v="387"/>
    <n v="114"/>
    <n v="576"/>
    <n v="690"/>
    <n v="1083"/>
    <n v="2"/>
    <n v="0"/>
    <n v="1701"/>
    <n v="63.7"/>
    <n v="61.1"/>
    <b v="0"/>
    <n v="0.38872936109117012"/>
    <n v="0.12919896640826872"/>
    <n v="572"/>
  </r>
  <r>
    <n v="19.2"/>
    <x v="35"/>
    <n v="553"/>
    <n v="679"/>
    <n v="4"/>
    <n v="1236"/>
    <n v="0"/>
    <n v="0"/>
    <n v="0"/>
    <n v="0"/>
    <n v="17"/>
    <n v="19"/>
    <n v="155"/>
    <n v="0"/>
    <n v="191"/>
    <n v="27"/>
    <n v="89"/>
    <n v="116"/>
    <n v="307"/>
    <n v="1"/>
    <n v="0"/>
    <n v="928"/>
    <n v="37.799999999999997"/>
    <n v="75.099999999999994"/>
    <b v="0"/>
    <n v="0.24838187702265371"/>
    <n v="8.9005235602094238E-2"/>
    <n v="372"/>
  </r>
  <r>
    <n v="20"/>
    <x v="36"/>
    <n v="18505"/>
    <n v="46123"/>
    <n v="38"/>
    <n v="64666"/>
    <n v="2"/>
    <n v="86"/>
    <n v="2"/>
    <n v="35"/>
    <n v="747"/>
    <n v="450"/>
    <n v="1065"/>
    <n v="52"/>
    <n v="2349"/>
    <n v="9607"/>
    <n v="34034"/>
    <n v="43641"/>
    <n v="46078"/>
    <n v="20"/>
    <n v="5"/>
    <n v="18566"/>
    <n v="94.7"/>
    <n v="28.7"/>
    <b v="0"/>
    <n v="0.7125537376673986"/>
    <n v="0.31800766283524906"/>
    <n v="45"/>
  </r>
  <r>
    <n v="20.100000000000001"/>
    <x v="37"/>
    <n v="9852"/>
    <n v="27807"/>
    <n v="36"/>
    <n v="37695"/>
    <n v="2"/>
    <n v="78"/>
    <n v="1"/>
    <n v="19"/>
    <n v="299"/>
    <n v="132"/>
    <n v="424"/>
    <n v="30"/>
    <n v="904"/>
    <n v="5612"/>
    <n v="20674"/>
    <n v="26286"/>
    <n v="27270"/>
    <n v="11"/>
    <n v="2"/>
    <n v="10413"/>
    <n v="96.4"/>
    <n v="27.6"/>
    <b v="0"/>
    <n v="0.72343812176681255"/>
    <n v="0.33075221238938052"/>
    <n v="537"/>
  </r>
  <r>
    <n v="20.2"/>
    <x v="38"/>
    <n v="6622"/>
    <n v="15515"/>
    <n v="1"/>
    <n v="22138"/>
    <n v="0"/>
    <n v="6"/>
    <n v="0"/>
    <n v="13"/>
    <n v="301"/>
    <n v="236"/>
    <n v="524"/>
    <n v="21"/>
    <n v="1095"/>
    <n v="3154"/>
    <n v="11666"/>
    <n v="14820"/>
    <n v="15921"/>
    <n v="4"/>
    <n v="1"/>
    <n v="6213"/>
    <n v="93.1"/>
    <n v="28.1"/>
    <b v="0"/>
    <n v="0.7191706567892312"/>
    <n v="0.27488584474885847"/>
    <n v="-406"/>
  </r>
  <r>
    <n v="20.3"/>
    <x v="39"/>
    <n v="993"/>
    <n v="1628"/>
    <n v="1"/>
    <n v="2622"/>
    <n v="0"/>
    <n v="2"/>
    <n v="1"/>
    <n v="2"/>
    <n v="74"/>
    <n v="36"/>
    <n v="44"/>
    <n v="0"/>
    <n v="156"/>
    <n v="438"/>
    <n v="1039"/>
    <n v="1477"/>
    <n v="1635"/>
    <n v="5"/>
    <n v="1"/>
    <n v="981"/>
    <n v="90.3"/>
    <n v="37.4"/>
    <b v="0"/>
    <n v="0.6235697940503433"/>
    <n v="0.47435897435897434"/>
    <n v="-7"/>
  </r>
  <r>
    <n v="20.399999999999999"/>
    <x v="40"/>
    <n v="647"/>
    <n v="553"/>
    <n v="0"/>
    <n v="1200"/>
    <n v="0"/>
    <n v="0"/>
    <n v="0"/>
    <n v="0"/>
    <n v="14"/>
    <n v="33"/>
    <n v="11"/>
    <n v="0"/>
    <n v="58"/>
    <n v="238"/>
    <n v="272"/>
    <n v="510"/>
    <n v="568"/>
    <n v="0"/>
    <n v="0"/>
    <n v="632"/>
    <n v="89.8"/>
    <n v="52.7"/>
    <b v="0"/>
    <n v="0.47333333333333333"/>
    <n v="0.2413793103448276"/>
    <n v="-15"/>
  </r>
  <r>
    <n v="20.5"/>
    <x v="41"/>
    <n v="282"/>
    <n v="593"/>
    <n v="0"/>
    <n v="875"/>
    <n v="0"/>
    <n v="0"/>
    <n v="0"/>
    <n v="1"/>
    <n v="58"/>
    <n v="12"/>
    <n v="57"/>
    <n v="1"/>
    <n v="129"/>
    <n v="153"/>
    <n v="366"/>
    <n v="519"/>
    <n v="648"/>
    <n v="0"/>
    <n v="1"/>
    <n v="227"/>
    <n v="80.099999999999994"/>
    <n v="25.9"/>
    <b v="0"/>
    <n v="0.74057142857142855"/>
    <n v="0.44961240310077522"/>
    <n v="-55"/>
  </r>
  <r>
    <n v="20.6"/>
    <x v="42"/>
    <n v="109"/>
    <n v="27"/>
    <n v="0"/>
    <n v="136"/>
    <n v="0"/>
    <n v="0"/>
    <n v="0"/>
    <n v="0"/>
    <n v="1"/>
    <n v="1"/>
    <n v="5"/>
    <n v="0"/>
    <n v="7"/>
    <n v="12"/>
    <n v="17"/>
    <n v="29"/>
    <n v="36"/>
    <n v="0"/>
    <n v="0"/>
    <n v="100"/>
    <n v="80.599999999999994"/>
    <n v="73.5"/>
    <b v="0"/>
    <n v="0.26470588235294118"/>
    <n v="0.14285714285714285"/>
    <n v="-9"/>
  </r>
  <r>
    <n v="21"/>
    <x v="43"/>
    <n v="24"/>
    <n v="12"/>
    <n v="0"/>
    <n v="36"/>
    <n v="0"/>
    <n v="0"/>
    <n v="0"/>
    <n v="0"/>
    <n v="0"/>
    <n v="1"/>
    <n v="1"/>
    <n v="0"/>
    <n v="2"/>
    <n v="4"/>
    <n v="4"/>
    <n v="8"/>
    <n v="10"/>
    <n v="0"/>
    <n v="0"/>
    <n v="26"/>
    <n v="80"/>
    <n v="72.2"/>
    <b v="0"/>
    <n v="0.27777777777777779"/>
    <n v="0"/>
    <n v="2"/>
  </r>
  <r>
    <s v="Total SLL Crimes against Women"/>
    <x v="44"/>
    <n v="29569"/>
    <n v="60149"/>
    <n v="47"/>
    <n v="89765"/>
    <n v="2"/>
    <n v="154"/>
    <n v="2"/>
    <n v="65"/>
    <n v="1135"/>
    <n v="955"/>
    <n v="2225"/>
    <n v="57"/>
    <n v="4437"/>
    <n v="13317"/>
    <n v="40973"/>
    <n v="54290"/>
    <n v="58883"/>
    <n v="27"/>
    <n v="21"/>
    <n v="30853"/>
    <n v="92.2"/>
    <n v="34.4"/>
    <b v="1"/>
    <n v="0.65596836183367679"/>
    <n v="0.25580347081361282"/>
    <n v="1266"/>
  </r>
  <r>
    <s v="Total Crime against Women"/>
    <x v="45"/>
    <n v="201362"/>
    <n v="371503"/>
    <n v="184"/>
    <n v="573049"/>
    <n v="4"/>
    <n v="485"/>
    <n v="17"/>
    <n v="672"/>
    <n v="26449"/>
    <n v="28085"/>
    <n v="22963"/>
    <n v="760"/>
    <n v="78929"/>
    <n v="83918"/>
    <n v="207385"/>
    <n v="291303"/>
    <n v="370721"/>
    <n v="328"/>
    <n v="239"/>
    <n v="201983"/>
    <n v="78.599999999999994"/>
    <n v="35.200000000000003"/>
    <b v="1"/>
    <n v="0.64692722611853437"/>
    <n v="0.33509863294859937"/>
    <n v="7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C6F83C-0ED2-443B-9012-AA4364E986E7}"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B54" firstHeaderRow="1" firstDataRow="1" firstDataCol="1"/>
  <pivotFields count="28">
    <pivotField showAll="0"/>
    <pivotField axis="axisRow" showAll="0" sortType="descending">
      <items count="47">
        <item x="2"/>
        <item x="4"/>
        <item x="22"/>
        <item x="5"/>
        <item x="21"/>
        <item x="19"/>
        <item x="6"/>
        <item x="33"/>
        <item x="28"/>
        <item x="1"/>
        <item x="25"/>
        <item x="13"/>
        <item x="17"/>
        <item x="26"/>
        <item x="15"/>
        <item x="43"/>
        <item x="23"/>
        <item x="8"/>
        <item x="9"/>
        <item x="7"/>
        <item x="16"/>
        <item x="11"/>
        <item x="10"/>
        <item x="3"/>
        <item x="0"/>
        <item x="31"/>
        <item x="35"/>
        <item x="42"/>
        <item x="39"/>
        <item x="40"/>
        <item x="41"/>
        <item x="37"/>
        <item x="38"/>
        <item x="14"/>
        <item x="27"/>
        <item x="29"/>
        <item x="36"/>
        <item x="32"/>
        <item x="34"/>
        <item x="20"/>
        <item x="30"/>
        <item x="18"/>
        <item x="45"/>
        <item x="24"/>
        <item x="44"/>
        <item x="1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7">
    <i>
      <x v="42"/>
    </i>
    <i>
      <x v="43"/>
    </i>
    <i>
      <x v="45"/>
    </i>
    <i>
      <x v="6"/>
    </i>
    <i>
      <x v="2"/>
    </i>
    <i>
      <x v="19"/>
    </i>
    <i>
      <x v="44"/>
    </i>
    <i>
      <x v="36"/>
    </i>
    <i>
      <x v="17"/>
    </i>
    <i>
      <x v="39"/>
    </i>
    <i>
      <x v="31"/>
    </i>
    <i>
      <x v="21"/>
    </i>
    <i>
      <x v="11"/>
    </i>
    <i>
      <x v="32"/>
    </i>
    <i>
      <x v="10"/>
    </i>
    <i>
      <x v="16"/>
    </i>
    <i>
      <x v="9"/>
    </i>
    <i>
      <x v="20"/>
    </i>
    <i>
      <x/>
    </i>
    <i>
      <x v="4"/>
    </i>
    <i>
      <x v="33"/>
    </i>
    <i>
      <x v="7"/>
    </i>
    <i>
      <x v="38"/>
    </i>
    <i>
      <x v="28"/>
    </i>
    <i>
      <x v="13"/>
    </i>
    <i>
      <x v="26"/>
    </i>
    <i>
      <x v="12"/>
    </i>
    <i>
      <x v="30"/>
    </i>
    <i>
      <x v="29"/>
    </i>
    <i>
      <x v="37"/>
    </i>
    <i>
      <x v="25"/>
    </i>
    <i>
      <x v="23"/>
    </i>
    <i>
      <x v="8"/>
    </i>
    <i>
      <x v="24"/>
    </i>
    <i>
      <x v="34"/>
    </i>
    <i>
      <x v="35"/>
    </i>
    <i>
      <x v="1"/>
    </i>
    <i>
      <x v="18"/>
    </i>
    <i>
      <x v="22"/>
    </i>
    <i>
      <x v="3"/>
    </i>
    <i>
      <x v="40"/>
    </i>
    <i>
      <x v="27"/>
    </i>
    <i>
      <x v="15"/>
    </i>
    <i>
      <x v="41"/>
    </i>
    <i>
      <x v="14"/>
    </i>
    <i>
      <x v="5"/>
    </i>
    <i t="grand">
      <x/>
    </i>
  </rowItems>
  <colItems count="1">
    <i/>
  </colItems>
  <dataFields count="1">
    <dataField name="Sum of Cases_Reported" fld="3"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Category" xr10:uid="{AB5135AC-F2F4-495E-9A25-FF34FB84F456}" sourceName="Crime_Category">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me_Category" xr10:uid="{769C2705-8EC9-46D1-BE0E-B7BC6D050B4B}" cache="Slicer_Crime_Category" caption="Crime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362957-9569-46C5-8364-47D469F210AB}" name="Table1" displayName="Table1" ref="A1:AB55" totalsRowShown="0">
  <autoFilter ref="A1:AB55" xr:uid="{F2362957-9569-46C5-8364-47D469F210AB}"/>
  <tableColumns count="28">
    <tableColumn id="1" xr3:uid="{A63D15D4-4D4D-450A-9B45-BE645B51E99A}" name="ID"/>
    <tableColumn id="2" xr3:uid="{24A8B595-2C7F-442A-BD6B-D77231F45BB9}" name="Crime_Category"/>
    <tableColumn id="3" xr3:uid="{BDA6D317-3E77-49A2-B82F-B558C2FB3AE0}" name="Pending_Previous_Year"/>
    <tableColumn id="4" xr3:uid="{C40FC27E-EF8A-497B-95B5-38AA12F17AC2}" name="Cases_Reported"/>
    <tableColumn id="5" xr3:uid="{7ECC7467-D228-4636-857D-FBBC9A65EBDE}" name="Cases_Reopened"/>
    <tableColumn id="6" xr3:uid="{B6FCA089-A740-4BE5-928C-430A06986982}" name="Total_Cases_for_Investigation"/>
    <tableColumn id="7" xr3:uid="{69BFC1A6-C07A-4E49-86A2-0F2A2E28B791}" name="Not_Investigated"/>
    <tableColumn id="8" xr3:uid="{B71E0FBC-57BD-4E04-84B5-167941955009}" name="Transferred"/>
    <tableColumn id="9" xr3:uid="{D7551178-28D6-4218-A4BA-632F251D569C}" name="Withdrawn"/>
    <tableColumn id="10" xr3:uid="{11D17D62-97A9-4BFA-8A25-A71FB85C23BC}" name="FR_Non_Cognizable"/>
    <tableColumn id="11" xr3:uid="{3927FDF0-7AD3-4AA8-828E-00723B298132}" name="FR_False"/>
    <tableColumn id="12" xr3:uid="{C1E167DC-769F-4C44-8CE3-5C1227BFBBDF}" name="FR_Mistake_Civil"/>
    <tableColumn id="13" xr3:uid="{E7BC04EE-6F24-4F91-A94F-C86C7A4854D0}" name="FR_Insufficient_Evidence"/>
    <tableColumn id="14" xr3:uid="{B7D55EDE-0A9D-4B8A-9665-56C7E4A7C92B}" name="FR_Abated"/>
    <tableColumn id="15" xr3:uid="{4DAF1FD3-E186-4B28-9ADE-51B0EEB664FF}" name="Total_Final_Reports"/>
    <tableColumn id="16" xr3:uid="{BE7DCC64-3535-4057-99F0-1FBCE41E18A3}" name="Chargesheet_Prev_Year"/>
    <tableColumn id="17" xr3:uid="{2FF650C7-4F33-4CD4-AADD-E8B98FF1D4BB}" name="Chargesheet_Current_Year"/>
    <tableColumn id="18" xr3:uid="{E3039B8D-DD45-4096-9AEC-6B80D98A3520}" name="Total_Chargesheets"/>
    <tableColumn id="19" xr3:uid="{F418AA56-C908-404A-94EC-BAC73C876BBD}" name="Total_Disposed"/>
    <tableColumn id="20" xr3:uid="{3E0FCE7C-379C-4F63-9B97-7CF6BC13A7A5}" name="Quashed"/>
    <tableColumn id="21" xr3:uid="{6A0EA2DE-45E1-4A51-943C-37B168A6FDD2}" name="Stayed"/>
    <tableColumn id="22" xr3:uid="{113EEEF0-D287-4DBA-81E6-DDC067E12EB6}" name="Pending_End_Year"/>
    <tableColumn id="23" xr3:uid="{156A4AC3-F0E7-460E-9D2E-8AEC4B09DC09}" name="Chargesheet_Rate"/>
    <tableColumn id="24" xr3:uid="{C9255171-D2B8-472F-BAB6-FCC6773011E1}" name="Pendency_Rate"/>
    <tableColumn id="25" xr3:uid="{F4081711-B96B-4E95-B4D6-C45C0F16470A}" name="Audit_Total" dataDxfId="13"/>
    <tableColumn id="26" xr3:uid="{B99FF9A5-112A-4FE2-9377-0047B1C02E31}" name="Disposal Efficiency ratio" dataDxfId="12">
      <calculatedColumnFormula>Table1[[#This Row],[Total_Disposed]]/Table1[[#This Row],[Total_Cases_for_Investigation]]</calculatedColumnFormula>
    </tableColumn>
    <tableColumn id="27" xr3:uid="{0F8B7425-4AAA-49DD-9B59-6100372A4D86}" name="False complaint Rate" dataDxfId="11">
      <calculatedColumnFormula>Table1[[#This Row],[FR_False]]/Table1[[#This Row],[Total_Final_Reports]]</calculatedColumnFormula>
    </tableColumn>
    <tableColumn id="28" xr3:uid="{82EB44C6-12D6-406E-8412-3B1FFED71E6A}" name="Justice Gap" dataDxfId="10">
      <calculatedColumnFormula>Table1[[#This Row],[Cases_Reported]]-Table1[[#This Row],[Total_Disposed]]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A7B6-C44C-4E7A-BA4B-4F3DEF17DC5E}">
  <dimension ref="A1:AB55"/>
  <sheetViews>
    <sheetView topLeftCell="I1" zoomScale="62" zoomScaleNormal="100" workbookViewId="0">
      <selection activeCell="P52" sqref="P52"/>
    </sheetView>
  </sheetViews>
  <sheetFormatPr defaultRowHeight="14.4" x14ac:dyDescent="0.3"/>
  <cols>
    <col min="2" max="2" width="16.33203125" customWidth="1"/>
    <col min="3" max="3" width="22.6640625" customWidth="1"/>
    <col min="4" max="4" width="16.33203125" customWidth="1"/>
    <col min="5" max="5" width="17.109375" customWidth="1"/>
    <col min="6" max="6" width="28.109375" customWidth="1"/>
    <col min="7" max="7" width="17.33203125" customWidth="1"/>
    <col min="8" max="8" width="12.5546875" customWidth="1"/>
    <col min="9" max="9" width="12.21875" customWidth="1"/>
    <col min="10" max="10" width="19.5546875" customWidth="1"/>
    <col min="11" max="11" width="10" customWidth="1"/>
    <col min="12" max="12" width="17" customWidth="1"/>
    <col min="13" max="13" width="23.88671875" customWidth="1"/>
    <col min="14" max="14" width="12" customWidth="1"/>
    <col min="15" max="15" width="19.44140625" customWidth="1"/>
    <col min="16" max="16" width="22.77734375" customWidth="1"/>
    <col min="17" max="17" width="25.33203125" customWidth="1"/>
    <col min="18" max="18" width="19.33203125" customWidth="1"/>
    <col min="19" max="19" width="15.6640625" customWidth="1"/>
    <col min="20" max="20" width="10.33203125" customWidth="1"/>
    <col min="22" max="22" width="18.6640625" customWidth="1"/>
    <col min="23" max="23" width="18.109375" customWidth="1"/>
    <col min="24" max="24" width="16" customWidth="1"/>
    <col min="25" max="25" width="12.6640625" style="1" customWidth="1"/>
    <col min="26" max="26" width="22.6640625" style="1" customWidth="1"/>
    <col min="27" max="28" width="8.88671875" style="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1" t="s">
        <v>72</v>
      </c>
      <c r="Z1" s="1" t="s">
        <v>73</v>
      </c>
      <c r="AA1" s="1" t="s">
        <v>74</v>
      </c>
      <c r="AB1" s="1" t="s">
        <v>75</v>
      </c>
    </row>
    <row r="2" spans="1:28" x14ac:dyDescent="0.3">
      <c r="A2">
        <v>1</v>
      </c>
      <c r="B2" t="s">
        <v>24</v>
      </c>
      <c r="C2">
        <v>160</v>
      </c>
      <c r="D2">
        <v>219</v>
      </c>
      <c r="E2">
        <v>0</v>
      </c>
      <c r="F2">
        <v>379</v>
      </c>
      <c r="G2">
        <v>0</v>
      </c>
      <c r="H2">
        <v>1</v>
      </c>
      <c r="I2">
        <v>0</v>
      </c>
      <c r="J2">
        <v>0</v>
      </c>
      <c r="K2">
        <v>0</v>
      </c>
      <c r="L2">
        <v>5</v>
      </c>
      <c r="M2">
        <v>12</v>
      </c>
      <c r="N2">
        <v>1</v>
      </c>
      <c r="O2">
        <v>18</v>
      </c>
      <c r="P2">
        <v>39</v>
      </c>
      <c r="Q2">
        <v>136</v>
      </c>
      <c r="R2">
        <v>175</v>
      </c>
      <c r="S2">
        <v>194</v>
      </c>
      <c r="T2">
        <v>0</v>
      </c>
      <c r="U2">
        <v>0</v>
      </c>
      <c r="V2">
        <v>185</v>
      </c>
      <c r="W2">
        <v>90.2</v>
      </c>
      <c r="X2">
        <v>48.8</v>
      </c>
      <c r="Y2" s="1" t="b">
        <v>0</v>
      </c>
      <c r="Z2" s="1">
        <f>Table1[[#This Row],[Total_Disposed]]/Table1[[#This Row],[Total_Cases_for_Investigation]]</f>
        <v>0.51187335092348285</v>
      </c>
      <c r="AA2" s="1">
        <f>Table1[[#This Row],[FR_False]]/Table1[[#This Row],[Total_Final_Reports]]</f>
        <v>0</v>
      </c>
      <c r="AB2" s="1">
        <f>Table1[[#This Row],[Cases_Reported]]-Table1[[#This Row],[Total_Disposed]]</f>
        <v>25</v>
      </c>
    </row>
    <row r="3" spans="1:28" x14ac:dyDescent="0.3">
      <c r="A3">
        <v>2</v>
      </c>
      <c r="B3" t="s">
        <v>25</v>
      </c>
      <c r="C3">
        <v>3452</v>
      </c>
      <c r="D3">
        <v>6966</v>
      </c>
      <c r="E3">
        <v>3</v>
      </c>
      <c r="F3">
        <v>10421</v>
      </c>
      <c r="G3">
        <v>0</v>
      </c>
      <c r="H3">
        <v>7</v>
      </c>
      <c r="I3">
        <v>0</v>
      </c>
      <c r="J3">
        <v>10</v>
      </c>
      <c r="K3">
        <v>218</v>
      </c>
      <c r="L3">
        <v>170</v>
      </c>
      <c r="M3">
        <v>250</v>
      </c>
      <c r="N3">
        <v>6</v>
      </c>
      <c r="O3">
        <v>654</v>
      </c>
      <c r="P3">
        <v>1720</v>
      </c>
      <c r="Q3">
        <v>4389</v>
      </c>
      <c r="R3">
        <v>6109</v>
      </c>
      <c r="S3">
        <v>6770</v>
      </c>
      <c r="T3">
        <v>0</v>
      </c>
      <c r="U3">
        <v>0</v>
      </c>
      <c r="V3">
        <v>3651</v>
      </c>
      <c r="W3">
        <v>90.2</v>
      </c>
      <c r="X3">
        <v>35</v>
      </c>
      <c r="Y3" s="1" t="b">
        <v>0</v>
      </c>
      <c r="Z3" s="1">
        <f>Table1[[#This Row],[Total_Disposed]]/Table1[[#This Row],[Total_Cases_for_Investigation]]</f>
        <v>0.64964974570578637</v>
      </c>
      <c r="AA3" s="1">
        <f>Table1[[#This Row],[FR_False]]/Table1[[#This Row],[Total_Final_Reports]]</f>
        <v>0.33333333333333331</v>
      </c>
      <c r="AB3" s="1">
        <f>Table1[[#This Row],[Cases_Reported]]-Table1[[#This Row],[Total_Disposed]]</f>
        <v>196</v>
      </c>
    </row>
    <row r="4" spans="1:28" x14ac:dyDescent="0.3">
      <c r="A4">
        <v>3</v>
      </c>
      <c r="B4" t="s">
        <v>26</v>
      </c>
      <c r="C4">
        <v>3120</v>
      </c>
      <c r="D4">
        <v>5040</v>
      </c>
      <c r="E4">
        <v>14</v>
      </c>
      <c r="F4">
        <v>8174</v>
      </c>
      <c r="G4">
        <v>1</v>
      </c>
      <c r="H4">
        <v>7</v>
      </c>
      <c r="I4">
        <v>1</v>
      </c>
      <c r="J4">
        <v>1</v>
      </c>
      <c r="K4">
        <v>164</v>
      </c>
      <c r="L4">
        <v>91</v>
      </c>
      <c r="M4">
        <v>123</v>
      </c>
      <c r="N4">
        <v>22</v>
      </c>
      <c r="O4">
        <v>401</v>
      </c>
      <c r="P4">
        <v>1331</v>
      </c>
      <c r="Q4">
        <v>2858</v>
      </c>
      <c r="R4">
        <v>4189</v>
      </c>
      <c r="S4">
        <v>4598</v>
      </c>
      <c r="T4">
        <v>6</v>
      </c>
      <c r="U4">
        <v>3</v>
      </c>
      <c r="V4">
        <v>3569</v>
      </c>
      <c r="W4">
        <v>91.1</v>
      </c>
      <c r="X4">
        <v>43.7</v>
      </c>
      <c r="Y4" s="1" t="b">
        <v>0</v>
      </c>
      <c r="Z4" s="1">
        <f>Table1[[#This Row],[Total_Disposed]]/Table1[[#This Row],[Total_Cases_for_Investigation]]</f>
        <v>0.56251529239050646</v>
      </c>
      <c r="AA4" s="1">
        <f>Table1[[#This Row],[FR_False]]/Table1[[#This Row],[Total_Final_Reports]]</f>
        <v>0.40897755610972569</v>
      </c>
      <c r="AB4" s="1">
        <f>Table1[[#This Row],[Cases_Reported]]-Table1[[#This Row],[Total_Disposed]]</f>
        <v>442</v>
      </c>
    </row>
    <row r="5" spans="1:28" x14ac:dyDescent="0.3">
      <c r="A5">
        <v>4</v>
      </c>
      <c r="B5" t="s">
        <v>27</v>
      </c>
      <c r="C5">
        <v>130</v>
      </c>
      <c r="D5">
        <v>239</v>
      </c>
      <c r="E5">
        <v>1</v>
      </c>
      <c r="F5">
        <v>370</v>
      </c>
      <c r="G5">
        <v>0</v>
      </c>
      <c r="H5">
        <v>0</v>
      </c>
      <c r="I5">
        <v>0</v>
      </c>
      <c r="J5">
        <v>0</v>
      </c>
      <c r="K5">
        <v>7</v>
      </c>
      <c r="L5">
        <v>7</v>
      </c>
      <c r="M5">
        <v>100</v>
      </c>
      <c r="N5">
        <v>0</v>
      </c>
      <c r="O5">
        <v>114</v>
      </c>
      <c r="P5">
        <v>19</v>
      </c>
      <c r="Q5">
        <v>85</v>
      </c>
      <c r="R5">
        <v>104</v>
      </c>
      <c r="S5">
        <v>218</v>
      </c>
      <c r="T5">
        <v>0</v>
      </c>
      <c r="U5">
        <v>1</v>
      </c>
      <c r="V5">
        <v>152</v>
      </c>
      <c r="W5">
        <v>47.7</v>
      </c>
      <c r="X5">
        <v>41.1</v>
      </c>
      <c r="Y5" s="1" t="b">
        <v>0</v>
      </c>
      <c r="Z5" s="1">
        <f>Table1[[#This Row],[Total_Disposed]]/Table1[[#This Row],[Total_Cases_for_Investigation]]</f>
        <v>0.58918918918918917</v>
      </c>
      <c r="AA5" s="1">
        <f>Table1[[#This Row],[FR_False]]/Table1[[#This Row],[Total_Final_Reports]]</f>
        <v>6.1403508771929821E-2</v>
      </c>
      <c r="AB5" s="1">
        <f>Table1[[#This Row],[Cases_Reported]]-Table1[[#This Row],[Total_Disposed]]</f>
        <v>21</v>
      </c>
    </row>
    <row r="6" spans="1:28" x14ac:dyDescent="0.3">
      <c r="A6">
        <v>5</v>
      </c>
      <c r="B6" t="s">
        <v>28</v>
      </c>
      <c r="C6">
        <v>58</v>
      </c>
      <c r="D6">
        <v>105</v>
      </c>
      <c r="E6">
        <v>0</v>
      </c>
      <c r="F6">
        <v>163</v>
      </c>
      <c r="G6">
        <v>0</v>
      </c>
      <c r="H6">
        <v>0</v>
      </c>
      <c r="I6">
        <v>0</v>
      </c>
      <c r="J6">
        <v>0</v>
      </c>
      <c r="K6">
        <v>6</v>
      </c>
      <c r="L6">
        <v>1</v>
      </c>
      <c r="M6">
        <v>7</v>
      </c>
      <c r="N6">
        <v>1</v>
      </c>
      <c r="O6">
        <v>15</v>
      </c>
      <c r="P6">
        <v>23</v>
      </c>
      <c r="Q6">
        <v>68</v>
      </c>
      <c r="R6">
        <v>91</v>
      </c>
      <c r="S6">
        <v>106</v>
      </c>
      <c r="T6">
        <v>0</v>
      </c>
      <c r="U6">
        <v>0</v>
      </c>
      <c r="V6">
        <v>57</v>
      </c>
      <c r="W6">
        <v>85.8</v>
      </c>
      <c r="X6">
        <v>35</v>
      </c>
      <c r="Y6" s="1" t="b">
        <v>0</v>
      </c>
      <c r="Z6" s="1">
        <f>Table1[[#This Row],[Total_Disposed]]/Table1[[#This Row],[Total_Cases_for_Investigation]]</f>
        <v>0.65030674846625769</v>
      </c>
      <c r="AA6" s="1">
        <f>Table1[[#This Row],[FR_False]]/Table1[[#This Row],[Total_Final_Reports]]</f>
        <v>0.4</v>
      </c>
      <c r="AB6" s="1">
        <f>Table1[[#This Row],[Cases_Reported]]-Table1[[#This Row],[Total_Disposed]]</f>
        <v>-1</v>
      </c>
    </row>
    <row r="7" spans="1:28" x14ac:dyDescent="0.3">
      <c r="A7">
        <v>6</v>
      </c>
      <c r="B7" t="s">
        <v>29</v>
      </c>
      <c r="C7">
        <v>31</v>
      </c>
      <c r="D7">
        <v>33</v>
      </c>
      <c r="E7">
        <v>0</v>
      </c>
      <c r="F7">
        <v>64</v>
      </c>
      <c r="G7">
        <v>0</v>
      </c>
      <c r="H7">
        <v>0</v>
      </c>
      <c r="I7">
        <v>0</v>
      </c>
      <c r="J7">
        <v>0</v>
      </c>
      <c r="K7">
        <v>1</v>
      </c>
      <c r="L7">
        <v>0</v>
      </c>
      <c r="M7">
        <v>4</v>
      </c>
      <c r="N7">
        <v>0</v>
      </c>
      <c r="O7">
        <v>5</v>
      </c>
      <c r="P7">
        <v>7</v>
      </c>
      <c r="Q7">
        <v>17</v>
      </c>
      <c r="R7">
        <v>24</v>
      </c>
      <c r="S7">
        <v>29</v>
      </c>
      <c r="T7">
        <v>1</v>
      </c>
      <c r="U7">
        <v>0</v>
      </c>
      <c r="V7">
        <v>34</v>
      </c>
      <c r="W7">
        <v>82.8</v>
      </c>
      <c r="X7">
        <v>53.1</v>
      </c>
      <c r="Y7" s="1" t="b">
        <v>0</v>
      </c>
      <c r="Z7" s="1">
        <f>Table1[[#This Row],[Total_Disposed]]/Table1[[#This Row],[Total_Cases_for_Investigation]]</f>
        <v>0.453125</v>
      </c>
      <c r="AA7" s="1">
        <f>Table1[[#This Row],[FR_False]]/Table1[[#This Row],[Total_Final_Reports]]</f>
        <v>0.2</v>
      </c>
      <c r="AB7" s="1">
        <f>Table1[[#This Row],[Cases_Reported]]-Table1[[#This Row],[Total_Disposed]]</f>
        <v>4</v>
      </c>
    </row>
    <row r="8" spans="1:28" x14ac:dyDescent="0.3">
      <c r="A8">
        <v>7</v>
      </c>
      <c r="B8" t="s">
        <v>30</v>
      </c>
      <c r="C8">
        <v>55499</v>
      </c>
      <c r="D8">
        <v>111549</v>
      </c>
      <c r="E8">
        <v>19</v>
      </c>
      <c r="F8">
        <v>167067</v>
      </c>
      <c r="G8">
        <v>1</v>
      </c>
      <c r="H8">
        <v>143</v>
      </c>
      <c r="I8">
        <v>3</v>
      </c>
      <c r="J8">
        <v>122</v>
      </c>
      <c r="K8">
        <v>5520</v>
      </c>
      <c r="L8">
        <v>4832</v>
      </c>
      <c r="M8">
        <v>5489</v>
      </c>
      <c r="N8">
        <v>188</v>
      </c>
      <c r="O8">
        <v>16151</v>
      </c>
      <c r="P8">
        <v>29367</v>
      </c>
      <c r="Q8">
        <v>66786</v>
      </c>
      <c r="R8">
        <v>96153</v>
      </c>
      <c r="S8">
        <v>112448</v>
      </c>
      <c r="T8">
        <v>174</v>
      </c>
      <c r="U8">
        <v>99</v>
      </c>
      <c r="V8">
        <v>54442</v>
      </c>
      <c r="W8">
        <v>85.5</v>
      </c>
      <c r="X8">
        <v>32.6</v>
      </c>
      <c r="Y8" s="1" t="b">
        <v>0</v>
      </c>
      <c r="Z8" s="1">
        <f>Table1[[#This Row],[Total_Disposed]]/Table1[[#This Row],[Total_Cases_for_Investigation]]</f>
        <v>0.67307128277876538</v>
      </c>
      <c r="AA8" s="1">
        <f>Table1[[#This Row],[FR_False]]/Table1[[#This Row],[Total_Final_Reports]]</f>
        <v>0.3417745031267414</v>
      </c>
      <c r="AB8" s="1">
        <f>Table1[[#This Row],[Cases_Reported]]-Table1[[#This Row],[Total_Disposed]]</f>
        <v>-899</v>
      </c>
    </row>
    <row r="9" spans="1:28" x14ac:dyDescent="0.3">
      <c r="A9">
        <v>8</v>
      </c>
      <c r="B9" t="s">
        <v>31</v>
      </c>
      <c r="C9">
        <v>51843</v>
      </c>
      <c r="D9">
        <v>62300</v>
      </c>
      <c r="E9">
        <v>21</v>
      </c>
      <c r="F9">
        <v>114164</v>
      </c>
      <c r="G9">
        <v>0</v>
      </c>
      <c r="H9">
        <v>28</v>
      </c>
      <c r="I9">
        <v>8</v>
      </c>
      <c r="J9">
        <v>162</v>
      </c>
      <c r="K9">
        <v>9247</v>
      </c>
      <c r="L9">
        <v>18878</v>
      </c>
      <c r="M9">
        <v>9377</v>
      </c>
      <c r="N9">
        <v>233</v>
      </c>
      <c r="O9">
        <v>37897</v>
      </c>
      <c r="P9">
        <v>7938</v>
      </c>
      <c r="Q9">
        <v>15872</v>
      </c>
      <c r="R9">
        <v>23810</v>
      </c>
      <c r="S9">
        <v>61735</v>
      </c>
      <c r="T9">
        <v>43</v>
      </c>
      <c r="U9">
        <v>35</v>
      </c>
      <c r="V9">
        <v>52378</v>
      </c>
      <c r="W9">
        <v>38.6</v>
      </c>
      <c r="X9">
        <v>45.9</v>
      </c>
      <c r="Y9" s="1" t="b">
        <v>0</v>
      </c>
      <c r="Z9" s="1">
        <f>Table1[[#This Row],[Total_Disposed]]/Table1[[#This Row],[Total_Cases_for_Investigation]]</f>
        <v>0.54075715637153565</v>
      </c>
      <c r="AA9" s="1">
        <f>Table1[[#This Row],[FR_False]]/Table1[[#This Row],[Total_Final_Reports]]</f>
        <v>0.24400348312531334</v>
      </c>
      <c r="AB9" s="1">
        <f>Table1[[#This Row],[Cases_Reported]]-Table1[[#This Row],[Total_Disposed]]</f>
        <v>565</v>
      </c>
    </row>
    <row r="10" spans="1:28" x14ac:dyDescent="0.3">
      <c r="A10">
        <v>8.1</v>
      </c>
      <c r="B10" t="s">
        <v>32</v>
      </c>
      <c r="C10">
        <v>21777</v>
      </c>
      <c r="D10">
        <v>28787</v>
      </c>
      <c r="E10">
        <v>3</v>
      </c>
      <c r="F10">
        <v>50567</v>
      </c>
      <c r="G10">
        <v>0</v>
      </c>
      <c r="H10">
        <v>22</v>
      </c>
      <c r="I10">
        <v>6</v>
      </c>
      <c r="J10">
        <v>23</v>
      </c>
      <c r="K10">
        <v>4406</v>
      </c>
      <c r="L10">
        <v>12671</v>
      </c>
      <c r="M10">
        <v>3479</v>
      </c>
      <c r="N10">
        <v>161</v>
      </c>
      <c r="O10">
        <v>20740</v>
      </c>
      <c r="P10">
        <v>2543</v>
      </c>
      <c r="Q10">
        <v>5739</v>
      </c>
      <c r="R10">
        <v>8282</v>
      </c>
      <c r="S10">
        <v>29044</v>
      </c>
      <c r="T10">
        <v>31</v>
      </c>
      <c r="U10">
        <v>5</v>
      </c>
      <c r="V10">
        <v>21486</v>
      </c>
      <c r="W10">
        <v>28.5</v>
      </c>
      <c r="X10">
        <v>42.5</v>
      </c>
      <c r="Y10" s="1" t="b">
        <v>0</v>
      </c>
      <c r="Z10" s="1">
        <f>Table1[[#This Row],[Total_Disposed]]/Table1[[#This Row],[Total_Cases_for_Investigation]]</f>
        <v>0.57436668182806971</v>
      </c>
      <c r="AA10" s="1">
        <f>Table1[[#This Row],[FR_False]]/Table1[[#This Row],[Total_Final_Reports]]</f>
        <v>0.21243972999035679</v>
      </c>
      <c r="AB10" s="1">
        <f>Table1[[#This Row],[Cases_Reported]]-Table1[[#This Row],[Total_Disposed]]</f>
        <v>-257</v>
      </c>
    </row>
    <row r="11" spans="1:28" x14ac:dyDescent="0.3">
      <c r="A11">
        <v>8.1999999999999993</v>
      </c>
      <c r="B11" t="s">
        <v>33</v>
      </c>
      <c r="C11">
        <v>162</v>
      </c>
      <c r="D11">
        <v>78</v>
      </c>
      <c r="E11">
        <v>0</v>
      </c>
      <c r="F11">
        <v>240</v>
      </c>
      <c r="G11">
        <v>0</v>
      </c>
      <c r="H11">
        <v>0</v>
      </c>
      <c r="I11">
        <v>0</v>
      </c>
      <c r="J11">
        <v>0</v>
      </c>
      <c r="K11">
        <v>4</v>
      </c>
      <c r="L11">
        <v>15</v>
      </c>
      <c r="M11">
        <v>43</v>
      </c>
      <c r="N11">
        <v>0</v>
      </c>
      <c r="O11">
        <v>62</v>
      </c>
      <c r="P11">
        <v>33</v>
      </c>
      <c r="Q11">
        <v>29</v>
      </c>
      <c r="R11">
        <v>62</v>
      </c>
      <c r="S11">
        <v>124</v>
      </c>
      <c r="T11">
        <v>0</v>
      </c>
      <c r="U11">
        <v>0</v>
      </c>
      <c r="V11">
        <v>116</v>
      </c>
      <c r="W11">
        <v>50</v>
      </c>
      <c r="X11">
        <v>48.3</v>
      </c>
      <c r="Y11" s="1" t="b">
        <v>0</v>
      </c>
      <c r="Z11" s="1">
        <f>Table1[[#This Row],[Total_Disposed]]/Table1[[#This Row],[Total_Cases_for_Investigation]]</f>
        <v>0.51666666666666672</v>
      </c>
      <c r="AA11" s="1">
        <f>Table1[[#This Row],[FR_False]]/Table1[[#This Row],[Total_Final_Reports]]</f>
        <v>6.4516129032258063E-2</v>
      </c>
      <c r="AB11" s="1">
        <f>Table1[[#This Row],[Cases_Reported]]-Table1[[#This Row],[Total_Disposed]]</f>
        <v>-46</v>
      </c>
    </row>
    <row r="12" spans="1:28" x14ac:dyDescent="0.3">
      <c r="A12">
        <v>8.3000000000000007</v>
      </c>
      <c r="B12" t="s">
        <v>34</v>
      </c>
      <c r="C12">
        <v>109</v>
      </c>
      <c r="D12">
        <v>58</v>
      </c>
      <c r="E12">
        <v>0</v>
      </c>
      <c r="F12">
        <v>167</v>
      </c>
      <c r="G12">
        <v>0</v>
      </c>
      <c r="H12">
        <v>0</v>
      </c>
      <c r="I12">
        <v>0</v>
      </c>
      <c r="J12">
        <v>0</v>
      </c>
      <c r="K12">
        <v>3</v>
      </c>
      <c r="L12">
        <v>12</v>
      </c>
      <c r="M12">
        <v>12</v>
      </c>
      <c r="N12">
        <v>0</v>
      </c>
      <c r="O12">
        <v>27</v>
      </c>
      <c r="P12">
        <v>28</v>
      </c>
      <c r="Q12">
        <v>28</v>
      </c>
      <c r="R12">
        <v>56</v>
      </c>
      <c r="S12">
        <v>83</v>
      </c>
      <c r="T12">
        <v>1</v>
      </c>
      <c r="U12">
        <v>0</v>
      </c>
      <c r="V12">
        <v>83</v>
      </c>
      <c r="W12">
        <v>67.5</v>
      </c>
      <c r="X12">
        <v>49.7</v>
      </c>
      <c r="Y12" s="1" t="b">
        <v>0</v>
      </c>
      <c r="Z12" s="1">
        <f>Table1[[#This Row],[Total_Disposed]]/Table1[[#This Row],[Total_Cases_for_Investigation]]</f>
        <v>0.49700598802395207</v>
      </c>
      <c r="AA12" s="1">
        <f>Table1[[#This Row],[FR_False]]/Table1[[#This Row],[Total_Final_Reports]]</f>
        <v>0.1111111111111111</v>
      </c>
      <c r="AB12" s="1">
        <f>Table1[[#This Row],[Cases_Reported]]-Table1[[#This Row],[Total_Disposed]]</f>
        <v>-25</v>
      </c>
    </row>
    <row r="13" spans="1:28" x14ac:dyDescent="0.3">
      <c r="A13">
        <v>8.4</v>
      </c>
      <c r="B13" t="s">
        <v>35</v>
      </c>
      <c r="C13">
        <v>22039</v>
      </c>
      <c r="D13">
        <v>24745</v>
      </c>
      <c r="E13">
        <v>11</v>
      </c>
      <c r="F13">
        <v>46795</v>
      </c>
      <c r="G13">
        <v>0</v>
      </c>
      <c r="H13">
        <v>3</v>
      </c>
      <c r="I13">
        <v>1</v>
      </c>
      <c r="J13">
        <v>139</v>
      </c>
      <c r="K13">
        <v>3109</v>
      </c>
      <c r="L13">
        <v>4301</v>
      </c>
      <c r="M13">
        <v>5006</v>
      </c>
      <c r="N13">
        <v>48</v>
      </c>
      <c r="O13">
        <v>12603</v>
      </c>
      <c r="P13">
        <v>4167</v>
      </c>
      <c r="Q13">
        <v>7701</v>
      </c>
      <c r="R13">
        <v>11868</v>
      </c>
      <c r="S13">
        <v>24474</v>
      </c>
      <c r="T13">
        <v>7</v>
      </c>
      <c r="U13">
        <v>29</v>
      </c>
      <c r="V13">
        <v>22313</v>
      </c>
      <c r="W13">
        <v>48.5</v>
      </c>
      <c r="X13">
        <v>47.7</v>
      </c>
      <c r="Y13" s="1" t="b">
        <v>0</v>
      </c>
      <c r="Z13" s="1">
        <f>Table1[[#This Row],[Total_Disposed]]/Table1[[#This Row],[Total_Cases_for_Investigation]]</f>
        <v>0.52300459450796022</v>
      </c>
      <c r="AA13" s="1">
        <f>Table1[[#This Row],[FR_False]]/Table1[[#This Row],[Total_Final_Reports]]</f>
        <v>0.24668729667539474</v>
      </c>
      <c r="AB13" s="1">
        <f>Table1[[#This Row],[Cases_Reported]]-Table1[[#This Row],[Total_Disposed]]</f>
        <v>271</v>
      </c>
    </row>
    <row r="14" spans="1:28" x14ac:dyDescent="0.3">
      <c r="A14" t="s">
        <v>36</v>
      </c>
      <c r="B14" t="s">
        <v>37</v>
      </c>
      <c r="C14">
        <v>12777</v>
      </c>
      <c r="D14">
        <v>13641</v>
      </c>
      <c r="E14">
        <v>4</v>
      </c>
      <c r="F14">
        <v>26422</v>
      </c>
      <c r="G14">
        <v>0</v>
      </c>
      <c r="H14">
        <v>2</v>
      </c>
      <c r="I14">
        <v>0</v>
      </c>
      <c r="J14">
        <v>137</v>
      </c>
      <c r="K14">
        <v>1777</v>
      </c>
      <c r="L14">
        <v>2206</v>
      </c>
      <c r="M14">
        <v>3021</v>
      </c>
      <c r="N14">
        <v>43</v>
      </c>
      <c r="O14">
        <v>7184</v>
      </c>
      <c r="P14">
        <v>2068</v>
      </c>
      <c r="Q14">
        <v>3878</v>
      </c>
      <c r="R14">
        <v>5946</v>
      </c>
      <c r="S14">
        <v>13132</v>
      </c>
      <c r="T14">
        <v>4</v>
      </c>
      <c r="U14">
        <v>13</v>
      </c>
      <c r="V14">
        <v>13286</v>
      </c>
      <c r="W14">
        <v>45.3</v>
      </c>
      <c r="X14">
        <v>50.3</v>
      </c>
      <c r="Y14" s="1" t="b">
        <v>0</v>
      </c>
      <c r="Z14" s="1">
        <f>Table1[[#This Row],[Total_Disposed]]/Table1[[#This Row],[Total_Cases_for_Investigation]]</f>
        <v>0.49701006736810233</v>
      </c>
      <c r="AA14" s="1">
        <f>Table1[[#This Row],[FR_False]]/Table1[[#This Row],[Total_Final_Reports]]</f>
        <v>0.24735523385300667</v>
      </c>
      <c r="AB14" s="1">
        <f>Table1[[#This Row],[Cases_Reported]]-Table1[[#This Row],[Total_Disposed]]</f>
        <v>509</v>
      </c>
    </row>
    <row r="15" spans="1:28" x14ac:dyDescent="0.3">
      <c r="A15" t="s">
        <v>38</v>
      </c>
      <c r="B15" t="s">
        <v>39</v>
      </c>
      <c r="C15">
        <v>9262</v>
      </c>
      <c r="D15">
        <v>11104</v>
      </c>
      <c r="E15">
        <v>7</v>
      </c>
      <c r="F15">
        <v>20373</v>
      </c>
      <c r="G15">
        <v>0</v>
      </c>
      <c r="H15">
        <v>1</v>
      </c>
      <c r="I15">
        <v>1</v>
      </c>
      <c r="J15">
        <v>2</v>
      </c>
      <c r="K15">
        <v>1332</v>
      </c>
      <c r="L15">
        <v>2095</v>
      </c>
      <c r="M15">
        <v>1985</v>
      </c>
      <c r="N15">
        <v>5</v>
      </c>
      <c r="O15">
        <v>5419</v>
      </c>
      <c r="P15">
        <v>2099</v>
      </c>
      <c r="Q15">
        <v>3823</v>
      </c>
      <c r="R15">
        <v>5922</v>
      </c>
      <c r="S15">
        <v>11342</v>
      </c>
      <c r="T15">
        <v>3</v>
      </c>
      <c r="U15">
        <v>16</v>
      </c>
      <c r="V15">
        <v>9027</v>
      </c>
      <c r="W15">
        <v>52.2</v>
      </c>
      <c r="X15">
        <v>44.3</v>
      </c>
      <c r="Y15" s="1" t="b">
        <v>0</v>
      </c>
      <c r="Z15" s="1">
        <f>Table1[[#This Row],[Total_Disposed]]/Table1[[#This Row],[Total_Cases_for_Investigation]]</f>
        <v>0.55671722377656707</v>
      </c>
      <c r="AA15" s="1">
        <f>Table1[[#This Row],[FR_False]]/Table1[[#This Row],[Total_Final_Reports]]</f>
        <v>0.24580180845174388</v>
      </c>
      <c r="AB15" s="1">
        <f>Table1[[#This Row],[Cases_Reported]]-Table1[[#This Row],[Total_Disposed]]</f>
        <v>-238</v>
      </c>
    </row>
    <row r="16" spans="1:28" x14ac:dyDescent="0.3">
      <c r="A16">
        <v>8.5</v>
      </c>
      <c r="B16" t="s">
        <v>40</v>
      </c>
      <c r="C16">
        <v>2881</v>
      </c>
      <c r="D16">
        <v>2471</v>
      </c>
      <c r="E16">
        <v>1</v>
      </c>
      <c r="F16">
        <v>5353</v>
      </c>
      <c r="G16">
        <v>0</v>
      </c>
      <c r="H16">
        <v>1</v>
      </c>
      <c r="I16">
        <v>0</v>
      </c>
      <c r="J16">
        <v>0</v>
      </c>
      <c r="K16">
        <v>627</v>
      </c>
      <c r="L16">
        <v>277</v>
      </c>
      <c r="M16">
        <v>327</v>
      </c>
      <c r="N16">
        <v>9</v>
      </c>
      <c r="O16">
        <v>1240</v>
      </c>
      <c r="P16">
        <v>478</v>
      </c>
      <c r="Q16">
        <v>703</v>
      </c>
      <c r="R16">
        <v>1181</v>
      </c>
      <c r="S16">
        <v>2422</v>
      </c>
      <c r="T16">
        <v>0</v>
      </c>
      <c r="U16">
        <v>0</v>
      </c>
      <c r="V16">
        <v>2931</v>
      </c>
      <c r="W16">
        <v>48.8</v>
      </c>
      <c r="X16">
        <v>54.8</v>
      </c>
      <c r="Y16" s="1" t="b">
        <v>0</v>
      </c>
      <c r="Z16" s="1">
        <f>Table1[[#This Row],[Total_Disposed]]/Table1[[#This Row],[Total_Cases_for_Investigation]]</f>
        <v>0.45245656641135812</v>
      </c>
      <c r="AA16" s="1">
        <f>Table1[[#This Row],[FR_False]]/Table1[[#This Row],[Total_Final_Reports]]</f>
        <v>0.50564516129032255</v>
      </c>
      <c r="AB16" s="1">
        <f>Table1[[#This Row],[Cases_Reported]]-Table1[[#This Row],[Total_Disposed]]</f>
        <v>49</v>
      </c>
    </row>
    <row r="17" spans="1:28" x14ac:dyDescent="0.3">
      <c r="A17">
        <v>8.6</v>
      </c>
      <c r="B17" t="s">
        <v>41</v>
      </c>
      <c r="C17">
        <v>11</v>
      </c>
      <c r="D17">
        <v>1</v>
      </c>
      <c r="E17">
        <v>0</v>
      </c>
      <c r="F17">
        <v>12</v>
      </c>
      <c r="G17">
        <v>0</v>
      </c>
      <c r="H17">
        <v>0</v>
      </c>
      <c r="I17">
        <v>0</v>
      </c>
      <c r="J17">
        <v>0</v>
      </c>
      <c r="K17">
        <v>0</v>
      </c>
      <c r="L17">
        <v>4</v>
      </c>
      <c r="M17">
        <v>0</v>
      </c>
      <c r="N17">
        <v>0</v>
      </c>
      <c r="O17">
        <v>4</v>
      </c>
      <c r="P17">
        <v>4</v>
      </c>
      <c r="Q17">
        <v>0</v>
      </c>
      <c r="R17">
        <v>4</v>
      </c>
      <c r="S17">
        <v>8</v>
      </c>
      <c r="T17">
        <v>0</v>
      </c>
      <c r="U17">
        <v>0</v>
      </c>
      <c r="V17">
        <v>4</v>
      </c>
      <c r="W17">
        <v>50</v>
      </c>
      <c r="X17">
        <v>33.299999999999997</v>
      </c>
      <c r="Y17" s="1" t="b">
        <v>0</v>
      </c>
      <c r="Z17" s="1">
        <f>Table1[[#This Row],[Total_Disposed]]/Table1[[#This Row],[Total_Cases_for_Investigation]]</f>
        <v>0.66666666666666663</v>
      </c>
      <c r="AA17" s="1">
        <f>Table1[[#This Row],[FR_False]]/Table1[[#This Row],[Total_Final_Reports]]</f>
        <v>0</v>
      </c>
      <c r="AB17" s="1">
        <f>Table1[[#This Row],[Cases_Reported]]-Table1[[#This Row],[Total_Disposed]]</f>
        <v>-7</v>
      </c>
    </row>
    <row r="18" spans="1:28" x14ac:dyDescent="0.3">
      <c r="A18">
        <v>8.6999999999999993</v>
      </c>
      <c r="B18" t="s">
        <v>42</v>
      </c>
      <c r="C18">
        <v>4864</v>
      </c>
      <c r="D18">
        <v>6160</v>
      </c>
      <c r="E18">
        <v>6</v>
      </c>
      <c r="F18">
        <v>11030</v>
      </c>
      <c r="G18">
        <v>0</v>
      </c>
      <c r="H18">
        <v>2</v>
      </c>
      <c r="I18">
        <v>1</v>
      </c>
      <c r="J18">
        <v>0</v>
      </c>
      <c r="K18">
        <v>1098</v>
      </c>
      <c r="L18">
        <v>1598</v>
      </c>
      <c r="M18">
        <v>510</v>
      </c>
      <c r="N18">
        <v>15</v>
      </c>
      <c r="O18">
        <v>3221</v>
      </c>
      <c r="P18">
        <v>685</v>
      </c>
      <c r="Q18">
        <v>1672</v>
      </c>
      <c r="R18">
        <v>2357</v>
      </c>
      <c r="S18">
        <v>5580</v>
      </c>
      <c r="T18">
        <v>4</v>
      </c>
      <c r="U18">
        <v>1</v>
      </c>
      <c r="V18">
        <v>5445</v>
      </c>
      <c r="W18">
        <v>42.2</v>
      </c>
      <c r="X18">
        <v>49.4</v>
      </c>
      <c r="Y18" s="1" t="b">
        <v>0</v>
      </c>
      <c r="Z18" s="1">
        <f>Table1[[#This Row],[Total_Disposed]]/Table1[[#This Row],[Total_Cases_for_Investigation]]</f>
        <v>0.50589301903898454</v>
      </c>
      <c r="AA18" s="1">
        <f>Table1[[#This Row],[FR_False]]/Table1[[#This Row],[Total_Final_Reports]]</f>
        <v>0.34088792300527787</v>
      </c>
      <c r="AB18" s="1">
        <f>Table1[[#This Row],[Cases_Reported]]-Table1[[#This Row],[Total_Disposed]]</f>
        <v>580</v>
      </c>
    </row>
    <row r="19" spans="1:28" x14ac:dyDescent="0.3">
      <c r="A19">
        <v>9</v>
      </c>
      <c r="B19" t="s">
        <v>43</v>
      </c>
      <c r="C19">
        <v>724</v>
      </c>
      <c r="D19">
        <v>646</v>
      </c>
      <c r="E19">
        <v>2</v>
      </c>
      <c r="F19">
        <v>1372</v>
      </c>
      <c r="G19">
        <v>0</v>
      </c>
      <c r="H19">
        <v>3</v>
      </c>
      <c r="I19">
        <v>0</v>
      </c>
      <c r="J19">
        <v>0</v>
      </c>
      <c r="K19">
        <v>9</v>
      </c>
      <c r="L19">
        <v>31</v>
      </c>
      <c r="M19">
        <v>23</v>
      </c>
      <c r="N19">
        <v>7</v>
      </c>
      <c r="O19">
        <v>70</v>
      </c>
      <c r="P19">
        <v>325</v>
      </c>
      <c r="Q19">
        <v>315</v>
      </c>
      <c r="R19">
        <v>640</v>
      </c>
      <c r="S19">
        <v>713</v>
      </c>
      <c r="T19">
        <v>0</v>
      </c>
      <c r="U19">
        <v>0</v>
      </c>
      <c r="V19">
        <v>659</v>
      </c>
      <c r="W19">
        <v>89.8</v>
      </c>
      <c r="X19">
        <v>48</v>
      </c>
      <c r="Y19" s="1" t="b">
        <v>0</v>
      </c>
      <c r="Z19" s="1">
        <f>Table1[[#This Row],[Total_Disposed]]/Table1[[#This Row],[Total_Cases_for_Investigation]]</f>
        <v>0.51967930029154519</v>
      </c>
      <c r="AA19" s="1">
        <f>Table1[[#This Row],[FR_False]]/Table1[[#This Row],[Total_Final_Reports]]</f>
        <v>0.12857142857142856</v>
      </c>
      <c r="AB19" s="1">
        <f>Table1[[#This Row],[Cases_Reported]]-Table1[[#This Row],[Total_Disposed]]</f>
        <v>-67</v>
      </c>
    </row>
    <row r="20" spans="1:28" x14ac:dyDescent="0.3">
      <c r="A20">
        <v>10</v>
      </c>
      <c r="B20" t="s">
        <v>44</v>
      </c>
      <c r="C20">
        <v>75</v>
      </c>
      <c r="D20">
        <v>12</v>
      </c>
      <c r="E20">
        <v>0</v>
      </c>
      <c r="F20">
        <v>87</v>
      </c>
      <c r="G20">
        <v>0</v>
      </c>
      <c r="H20">
        <v>0</v>
      </c>
      <c r="I20">
        <v>0</v>
      </c>
      <c r="J20">
        <v>0</v>
      </c>
      <c r="K20">
        <v>1</v>
      </c>
      <c r="L20">
        <v>1</v>
      </c>
      <c r="M20">
        <v>0</v>
      </c>
      <c r="N20">
        <v>0</v>
      </c>
      <c r="O20">
        <v>2</v>
      </c>
      <c r="P20">
        <v>8</v>
      </c>
      <c r="Q20">
        <v>5</v>
      </c>
      <c r="R20">
        <v>13</v>
      </c>
      <c r="S20">
        <v>15</v>
      </c>
      <c r="T20">
        <v>0</v>
      </c>
      <c r="U20">
        <v>0</v>
      </c>
      <c r="V20">
        <v>72</v>
      </c>
      <c r="W20">
        <v>86.7</v>
      </c>
      <c r="X20">
        <v>82.8</v>
      </c>
      <c r="Y20" s="1" t="b">
        <v>0</v>
      </c>
      <c r="Z20" s="1">
        <f>Table1[[#This Row],[Total_Disposed]]/Table1[[#This Row],[Total_Cases_for_Investigation]]</f>
        <v>0.17241379310344829</v>
      </c>
      <c r="AA20" s="1">
        <f>Table1[[#This Row],[FR_False]]/Table1[[#This Row],[Total_Final_Reports]]</f>
        <v>0.5</v>
      </c>
      <c r="AB20" s="1">
        <f>Table1[[#This Row],[Cases_Reported]]-Table1[[#This Row],[Total_Disposed]]</f>
        <v>-3</v>
      </c>
    </row>
    <row r="21" spans="1:28" x14ac:dyDescent="0.3">
      <c r="A21">
        <v>11</v>
      </c>
      <c r="B21" t="s">
        <v>45</v>
      </c>
      <c r="C21">
        <v>25</v>
      </c>
      <c r="D21">
        <v>1</v>
      </c>
      <c r="E21">
        <v>0</v>
      </c>
      <c r="F21">
        <v>26</v>
      </c>
      <c r="G21">
        <v>0</v>
      </c>
      <c r="H21">
        <v>0</v>
      </c>
      <c r="I21">
        <v>0</v>
      </c>
      <c r="J21">
        <v>0</v>
      </c>
      <c r="K21">
        <v>0</v>
      </c>
      <c r="L21">
        <v>2</v>
      </c>
      <c r="M21">
        <v>0</v>
      </c>
      <c r="N21">
        <v>0</v>
      </c>
      <c r="O21">
        <v>2</v>
      </c>
      <c r="P21">
        <v>6</v>
      </c>
      <c r="Q21">
        <v>1</v>
      </c>
      <c r="R21">
        <v>7</v>
      </c>
      <c r="S21">
        <v>9</v>
      </c>
      <c r="T21">
        <v>0</v>
      </c>
      <c r="U21">
        <v>0</v>
      </c>
      <c r="V21">
        <v>17</v>
      </c>
      <c r="W21">
        <v>77.8</v>
      </c>
      <c r="X21">
        <v>65.400000000000006</v>
      </c>
      <c r="Y21" s="1" t="b">
        <v>0</v>
      </c>
      <c r="Z21" s="1">
        <f>Table1[[#This Row],[Total_Disposed]]/Table1[[#This Row],[Total_Cases_for_Investigation]]</f>
        <v>0.34615384615384615</v>
      </c>
      <c r="AA21" s="1">
        <f>Table1[[#This Row],[FR_False]]/Table1[[#This Row],[Total_Final_Reports]]</f>
        <v>0</v>
      </c>
      <c r="AB21" s="1">
        <f>Table1[[#This Row],[Cases_Reported]]-Table1[[#This Row],[Total_Disposed]]</f>
        <v>-8</v>
      </c>
    </row>
    <row r="22" spans="1:28" x14ac:dyDescent="0.3">
      <c r="A22">
        <v>12</v>
      </c>
      <c r="B22" t="s">
        <v>46</v>
      </c>
      <c r="C22">
        <v>15097</v>
      </c>
      <c r="D22">
        <v>28046</v>
      </c>
      <c r="E22">
        <v>53</v>
      </c>
      <c r="F22">
        <v>43196</v>
      </c>
      <c r="G22">
        <v>0</v>
      </c>
      <c r="H22">
        <v>100</v>
      </c>
      <c r="I22">
        <v>2</v>
      </c>
      <c r="J22">
        <v>48</v>
      </c>
      <c r="K22">
        <v>3375</v>
      </c>
      <c r="L22">
        <v>571</v>
      </c>
      <c r="M22">
        <v>987</v>
      </c>
      <c r="N22">
        <v>34</v>
      </c>
      <c r="O22">
        <v>5015</v>
      </c>
      <c r="P22">
        <v>7161</v>
      </c>
      <c r="Q22">
        <v>16532</v>
      </c>
      <c r="R22">
        <v>23693</v>
      </c>
      <c r="S22">
        <v>28808</v>
      </c>
      <c r="T22">
        <v>38</v>
      </c>
      <c r="U22">
        <v>34</v>
      </c>
      <c r="V22">
        <v>14348</v>
      </c>
      <c r="W22">
        <v>82.2</v>
      </c>
      <c r="X22">
        <v>33.200000000000003</v>
      </c>
      <c r="Y22" s="1" t="b">
        <v>0</v>
      </c>
      <c r="Z22" s="1">
        <f>Table1[[#This Row],[Total_Disposed]]/Table1[[#This Row],[Total_Cases_for_Investigation]]</f>
        <v>0.66691360311139924</v>
      </c>
      <c r="AA22" s="1">
        <f>Table1[[#This Row],[FR_False]]/Table1[[#This Row],[Total_Final_Reports]]</f>
        <v>0.67298105682951148</v>
      </c>
      <c r="AB22" s="1">
        <f>Table1[[#This Row],[Cases_Reported]]-Table1[[#This Row],[Total_Disposed]]</f>
        <v>-762</v>
      </c>
    </row>
    <row r="23" spans="1:28" x14ac:dyDescent="0.3">
      <c r="A23">
        <v>12.1</v>
      </c>
      <c r="B23" t="s">
        <v>37</v>
      </c>
      <c r="C23">
        <v>12296</v>
      </c>
      <c r="D23">
        <v>25406</v>
      </c>
      <c r="E23">
        <v>53</v>
      </c>
      <c r="F23">
        <v>37755</v>
      </c>
      <c r="G23">
        <v>0</v>
      </c>
      <c r="H23">
        <v>95</v>
      </c>
      <c r="I23">
        <v>2</v>
      </c>
      <c r="J23">
        <v>48</v>
      </c>
      <c r="K23">
        <v>3050</v>
      </c>
      <c r="L23">
        <v>510</v>
      </c>
      <c r="M23">
        <v>935</v>
      </c>
      <c r="N23">
        <v>32</v>
      </c>
      <c r="O23">
        <v>4575</v>
      </c>
      <c r="P23">
        <v>5658</v>
      </c>
      <c r="Q23">
        <v>14821</v>
      </c>
      <c r="R23">
        <v>20479</v>
      </c>
      <c r="S23">
        <v>25149</v>
      </c>
      <c r="T23">
        <v>37</v>
      </c>
      <c r="U23">
        <v>34</v>
      </c>
      <c r="V23">
        <v>12567</v>
      </c>
      <c r="W23">
        <v>81.400000000000006</v>
      </c>
      <c r="X23">
        <v>33.299999999999997</v>
      </c>
      <c r="Y23" s="1" t="b">
        <v>0</v>
      </c>
      <c r="Z23" s="1">
        <f>Table1[[#This Row],[Total_Disposed]]/Table1[[#This Row],[Total_Cases_for_Investigation]]</f>
        <v>0.66611044894715932</v>
      </c>
      <c r="AA23" s="1">
        <f>Table1[[#This Row],[FR_False]]/Table1[[#This Row],[Total_Final_Reports]]</f>
        <v>0.66666666666666663</v>
      </c>
      <c r="AB23" s="1">
        <f>Table1[[#This Row],[Cases_Reported]]-Table1[[#This Row],[Total_Disposed]]</f>
        <v>257</v>
      </c>
    </row>
    <row r="24" spans="1:28" x14ac:dyDescent="0.3">
      <c r="A24">
        <v>12.2</v>
      </c>
      <c r="B24" t="s">
        <v>39</v>
      </c>
      <c r="C24">
        <v>2801</v>
      </c>
      <c r="D24">
        <v>2640</v>
      </c>
      <c r="E24">
        <v>0</v>
      </c>
      <c r="F24">
        <v>5441</v>
      </c>
      <c r="G24">
        <v>0</v>
      </c>
      <c r="H24">
        <v>5</v>
      </c>
      <c r="I24">
        <v>0</v>
      </c>
      <c r="J24">
        <v>0</v>
      </c>
      <c r="K24">
        <v>325</v>
      </c>
      <c r="L24">
        <v>61</v>
      </c>
      <c r="M24">
        <v>52</v>
      </c>
      <c r="N24">
        <v>2</v>
      </c>
      <c r="O24">
        <v>440</v>
      </c>
      <c r="P24">
        <v>1503</v>
      </c>
      <c r="Q24">
        <v>1711</v>
      </c>
      <c r="R24">
        <v>3214</v>
      </c>
      <c r="S24">
        <v>3659</v>
      </c>
      <c r="T24">
        <v>1</v>
      </c>
      <c r="U24">
        <v>0</v>
      </c>
      <c r="V24">
        <v>1781</v>
      </c>
      <c r="W24">
        <v>87.8</v>
      </c>
      <c r="X24">
        <v>32.700000000000003</v>
      </c>
      <c r="Y24" s="1" t="b">
        <v>0</v>
      </c>
      <c r="Z24" s="1">
        <f>Table1[[#This Row],[Total_Disposed]]/Table1[[#This Row],[Total_Cases_for_Investigation]]</f>
        <v>0.67248667524352146</v>
      </c>
      <c r="AA24" s="1">
        <f>Table1[[#This Row],[FR_False]]/Table1[[#This Row],[Total_Final_Reports]]</f>
        <v>0.73863636363636365</v>
      </c>
      <c r="AB24" s="1">
        <f>Table1[[#This Row],[Cases_Reported]]-Table1[[#This Row],[Total_Disposed]]</f>
        <v>-1019</v>
      </c>
    </row>
    <row r="25" spans="1:28" x14ac:dyDescent="0.3">
      <c r="A25">
        <v>13</v>
      </c>
      <c r="B25" t="s">
        <v>47</v>
      </c>
      <c r="C25">
        <v>1796</v>
      </c>
      <c r="D25">
        <v>3741</v>
      </c>
      <c r="E25">
        <v>1</v>
      </c>
      <c r="F25">
        <v>5538</v>
      </c>
      <c r="G25">
        <v>0</v>
      </c>
      <c r="H25">
        <v>3</v>
      </c>
      <c r="I25">
        <v>0</v>
      </c>
      <c r="J25">
        <v>6</v>
      </c>
      <c r="K25">
        <v>631</v>
      </c>
      <c r="L25">
        <v>90</v>
      </c>
      <c r="M25">
        <v>212</v>
      </c>
      <c r="N25">
        <v>6</v>
      </c>
      <c r="O25">
        <v>945</v>
      </c>
      <c r="P25">
        <v>816</v>
      </c>
      <c r="Q25">
        <v>1980</v>
      </c>
      <c r="R25">
        <v>2796</v>
      </c>
      <c r="S25">
        <v>3744</v>
      </c>
      <c r="T25">
        <v>0</v>
      </c>
      <c r="U25">
        <v>2</v>
      </c>
      <c r="V25">
        <v>1794</v>
      </c>
      <c r="W25">
        <v>74.7</v>
      </c>
      <c r="X25">
        <v>32.4</v>
      </c>
      <c r="Y25" s="1" t="b">
        <v>0</v>
      </c>
      <c r="Z25" s="1">
        <f>Table1[[#This Row],[Total_Disposed]]/Table1[[#This Row],[Total_Cases_for_Investigation]]</f>
        <v>0.676056338028169</v>
      </c>
      <c r="AA25" s="1">
        <f>Table1[[#This Row],[FR_False]]/Table1[[#This Row],[Total_Final_Reports]]</f>
        <v>0.66772486772486772</v>
      </c>
      <c r="AB25" s="1">
        <f>Table1[[#This Row],[Cases_Reported]]-Table1[[#This Row],[Total_Disposed]]</f>
        <v>-3</v>
      </c>
    </row>
    <row r="26" spans="1:28" x14ac:dyDescent="0.3">
      <c r="A26">
        <v>13.1</v>
      </c>
      <c r="B26" t="s">
        <v>37</v>
      </c>
      <c r="C26">
        <v>1556</v>
      </c>
      <c r="D26">
        <v>3446</v>
      </c>
      <c r="E26">
        <v>0</v>
      </c>
      <c r="F26">
        <v>5002</v>
      </c>
      <c r="G26">
        <v>0</v>
      </c>
      <c r="H26">
        <v>3</v>
      </c>
      <c r="I26">
        <v>0</v>
      </c>
      <c r="J26">
        <v>6</v>
      </c>
      <c r="K26">
        <v>595</v>
      </c>
      <c r="L26">
        <v>87</v>
      </c>
      <c r="M26">
        <v>192</v>
      </c>
      <c r="N26">
        <v>3</v>
      </c>
      <c r="O26">
        <v>883</v>
      </c>
      <c r="P26">
        <v>732</v>
      </c>
      <c r="Q26">
        <v>1802</v>
      </c>
      <c r="R26">
        <v>2534</v>
      </c>
      <c r="S26">
        <v>3420</v>
      </c>
      <c r="T26">
        <v>0</v>
      </c>
      <c r="U26">
        <v>1</v>
      </c>
      <c r="V26">
        <v>1582</v>
      </c>
      <c r="W26">
        <v>74.099999999999994</v>
      </c>
      <c r="X26">
        <v>31.6</v>
      </c>
      <c r="Y26" s="1" t="b">
        <v>0</v>
      </c>
      <c r="Z26" s="1">
        <f>Table1[[#This Row],[Total_Disposed]]/Table1[[#This Row],[Total_Cases_for_Investigation]]</f>
        <v>0.68372650939624147</v>
      </c>
      <c r="AA26" s="1">
        <f>Table1[[#This Row],[FR_False]]/Table1[[#This Row],[Total_Final_Reports]]</f>
        <v>0.67383918459796155</v>
      </c>
      <c r="AB26" s="1">
        <f>Table1[[#This Row],[Cases_Reported]]-Table1[[#This Row],[Total_Disposed]]</f>
        <v>26</v>
      </c>
    </row>
    <row r="27" spans="1:28" x14ac:dyDescent="0.3">
      <c r="A27">
        <v>13.2</v>
      </c>
      <c r="B27" t="s">
        <v>39</v>
      </c>
      <c r="C27">
        <v>240</v>
      </c>
      <c r="D27">
        <v>295</v>
      </c>
      <c r="E27">
        <v>1</v>
      </c>
      <c r="F27">
        <v>536</v>
      </c>
      <c r="G27">
        <v>0</v>
      </c>
      <c r="H27">
        <v>0</v>
      </c>
      <c r="I27">
        <v>0</v>
      </c>
      <c r="J27">
        <v>0</v>
      </c>
      <c r="K27">
        <v>36</v>
      </c>
      <c r="L27">
        <v>3</v>
      </c>
      <c r="M27">
        <v>20</v>
      </c>
      <c r="N27">
        <v>3</v>
      </c>
      <c r="O27">
        <v>62</v>
      </c>
      <c r="P27">
        <v>84</v>
      </c>
      <c r="Q27">
        <v>178</v>
      </c>
      <c r="R27">
        <v>262</v>
      </c>
      <c r="S27">
        <v>324</v>
      </c>
      <c r="T27">
        <v>0</v>
      </c>
      <c r="U27">
        <v>1</v>
      </c>
      <c r="V27">
        <v>212</v>
      </c>
      <c r="W27">
        <v>80.900000000000006</v>
      </c>
      <c r="X27">
        <v>39.6</v>
      </c>
      <c r="Y27" s="1" t="b">
        <v>0</v>
      </c>
      <c r="Z27" s="1">
        <f>Table1[[#This Row],[Total_Disposed]]/Table1[[#This Row],[Total_Cases_for_Investigation]]</f>
        <v>0.60447761194029848</v>
      </c>
      <c r="AA27" s="1">
        <f>Table1[[#This Row],[FR_False]]/Table1[[#This Row],[Total_Final_Reports]]</f>
        <v>0.58064516129032262</v>
      </c>
      <c r="AB27" s="1">
        <f>Table1[[#This Row],[Cases_Reported]]-Table1[[#This Row],[Total_Disposed]]</f>
        <v>-29</v>
      </c>
    </row>
    <row r="28" spans="1:28" x14ac:dyDescent="0.3">
      <c r="A28">
        <v>14</v>
      </c>
      <c r="B28" t="s">
        <v>48</v>
      </c>
      <c r="C28">
        <v>35294</v>
      </c>
      <c r="D28">
        <v>85392</v>
      </c>
      <c r="E28">
        <v>14</v>
      </c>
      <c r="F28">
        <v>120700</v>
      </c>
      <c r="G28">
        <v>0</v>
      </c>
      <c r="H28">
        <v>38</v>
      </c>
      <c r="I28">
        <v>1</v>
      </c>
      <c r="J28">
        <v>253</v>
      </c>
      <c r="K28">
        <v>5821</v>
      </c>
      <c r="L28">
        <v>2317</v>
      </c>
      <c r="M28">
        <v>3848</v>
      </c>
      <c r="N28">
        <v>187</v>
      </c>
      <c r="O28">
        <v>12426</v>
      </c>
      <c r="P28">
        <v>20026</v>
      </c>
      <c r="Q28">
        <v>53584</v>
      </c>
      <c r="R28">
        <v>73610</v>
      </c>
      <c r="S28">
        <v>86074</v>
      </c>
      <c r="T28">
        <v>38</v>
      </c>
      <c r="U28">
        <v>39</v>
      </c>
      <c r="V28">
        <v>34587</v>
      </c>
      <c r="W28">
        <v>85.5</v>
      </c>
      <c r="X28">
        <v>28.7</v>
      </c>
      <c r="Y28" s="1" t="b">
        <v>0</v>
      </c>
      <c r="Z28" s="1">
        <f>Table1[[#This Row],[Total_Disposed]]/Table1[[#This Row],[Total_Cases_for_Investigation]]</f>
        <v>0.71312344656172333</v>
      </c>
      <c r="AA28" s="1">
        <f>Table1[[#This Row],[FR_False]]/Table1[[#This Row],[Total_Final_Reports]]</f>
        <v>0.46845324319974246</v>
      </c>
      <c r="AB28" s="1">
        <f>Table1[[#This Row],[Cases_Reported]]-Table1[[#This Row],[Total_Disposed]]</f>
        <v>-682</v>
      </c>
    </row>
    <row r="29" spans="1:28" x14ac:dyDescent="0.3">
      <c r="A29">
        <v>14.1</v>
      </c>
      <c r="B29" t="s">
        <v>37</v>
      </c>
      <c r="C29">
        <v>33523</v>
      </c>
      <c r="D29">
        <v>81282</v>
      </c>
      <c r="E29">
        <v>9</v>
      </c>
      <c r="F29">
        <v>114814</v>
      </c>
      <c r="G29">
        <v>0</v>
      </c>
      <c r="H29">
        <v>38</v>
      </c>
      <c r="I29">
        <v>1</v>
      </c>
      <c r="J29">
        <v>251</v>
      </c>
      <c r="K29">
        <v>5502</v>
      </c>
      <c r="L29">
        <v>2249</v>
      </c>
      <c r="M29">
        <v>3678</v>
      </c>
      <c r="N29">
        <v>162</v>
      </c>
      <c r="O29">
        <v>11842</v>
      </c>
      <c r="P29">
        <v>19061</v>
      </c>
      <c r="Q29">
        <v>51003</v>
      </c>
      <c r="R29">
        <v>70064</v>
      </c>
      <c r="S29">
        <v>81944</v>
      </c>
      <c r="T29">
        <v>36</v>
      </c>
      <c r="U29">
        <v>38</v>
      </c>
      <c r="V29">
        <v>32833</v>
      </c>
      <c r="W29">
        <v>85.5</v>
      </c>
      <c r="X29">
        <v>28.6</v>
      </c>
      <c r="Y29" s="1" t="b">
        <v>0</v>
      </c>
      <c r="Z29" s="1">
        <f>Table1[[#This Row],[Total_Disposed]]/Table1[[#This Row],[Total_Cases_for_Investigation]]</f>
        <v>0.71371087149650736</v>
      </c>
      <c r="AA29" s="1">
        <f>Table1[[#This Row],[FR_False]]/Table1[[#This Row],[Total_Final_Reports]]</f>
        <v>0.46461746326634012</v>
      </c>
      <c r="AB29" s="1">
        <f>Table1[[#This Row],[Cases_Reported]]-Table1[[#This Row],[Total_Disposed]]</f>
        <v>-662</v>
      </c>
    </row>
    <row r="30" spans="1:28" x14ac:dyDescent="0.3">
      <c r="A30">
        <v>14.2</v>
      </c>
      <c r="B30" t="s">
        <v>39</v>
      </c>
      <c r="C30">
        <v>1771</v>
      </c>
      <c r="D30">
        <v>4110</v>
      </c>
      <c r="E30">
        <v>5</v>
      </c>
      <c r="F30">
        <v>5886</v>
      </c>
      <c r="G30">
        <v>0</v>
      </c>
      <c r="H30">
        <v>0</v>
      </c>
      <c r="I30">
        <v>0</v>
      </c>
      <c r="J30">
        <v>2</v>
      </c>
      <c r="K30">
        <v>319</v>
      </c>
      <c r="L30">
        <v>68</v>
      </c>
      <c r="M30">
        <v>170</v>
      </c>
      <c r="N30">
        <v>25</v>
      </c>
      <c r="O30">
        <v>584</v>
      </c>
      <c r="P30">
        <v>965</v>
      </c>
      <c r="Q30">
        <v>2581</v>
      </c>
      <c r="R30">
        <v>3546</v>
      </c>
      <c r="S30">
        <v>4130</v>
      </c>
      <c r="T30">
        <v>2</v>
      </c>
      <c r="U30">
        <v>1</v>
      </c>
      <c r="V30">
        <v>1754</v>
      </c>
      <c r="W30">
        <v>85.9</v>
      </c>
      <c r="X30">
        <v>29.8</v>
      </c>
      <c r="Y30" s="1" t="b">
        <v>0</v>
      </c>
      <c r="Z30" s="1">
        <f>Table1[[#This Row],[Total_Disposed]]/Table1[[#This Row],[Total_Cases_for_Investigation]]</f>
        <v>0.70166496772001363</v>
      </c>
      <c r="AA30" s="1">
        <f>Table1[[#This Row],[FR_False]]/Table1[[#This Row],[Total_Final_Reports]]</f>
        <v>0.54623287671232879</v>
      </c>
      <c r="AB30" s="1">
        <f>Table1[[#This Row],[Cases_Reported]]-Table1[[#This Row],[Total_Disposed]]</f>
        <v>-20</v>
      </c>
    </row>
    <row r="31" spans="1:28" x14ac:dyDescent="0.3">
      <c r="A31">
        <v>15</v>
      </c>
      <c r="B31" t="s">
        <v>49</v>
      </c>
      <c r="C31">
        <v>4489</v>
      </c>
      <c r="D31">
        <v>7065</v>
      </c>
      <c r="E31">
        <v>9</v>
      </c>
      <c r="F31">
        <v>11563</v>
      </c>
      <c r="G31">
        <v>0</v>
      </c>
      <c r="H31">
        <v>1</v>
      </c>
      <c r="I31">
        <v>0</v>
      </c>
      <c r="J31">
        <v>5</v>
      </c>
      <c r="K31">
        <v>314</v>
      </c>
      <c r="L31">
        <v>134</v>
      </c>
      <c r="M31">
        <v>306</v>
      </c>
      <c r="N31">
        <v>18</v>
      </c>
      <c r="O31">
        <v>777</v>
      </c>
      <c r="P31">
        <v>1815</v>
      </c>
      <c r="Q31">
        <v>3784</v>
      </c>
      <c r="R31">
        <v>5599</v>
      </c>
      <c r="S31">
        <v>6377</v>
      </c>
      <c r="T31">
        <v>1</v>
      </c>
      <c r="U31">
        <v>5</v>
      </c>
      <c r="V31">
        <v>5185</v>
      </c>
      <c r="W31">
        <v>87.8</v>
      </c>
      <c r="X31">
        <v>44.8</v>
      </c>
      <c r="Y31" s="1" t="b">
        <v>0</v>
      </c>
      <c r="Z31" s="1">
        <f>Table1[[#This Row],[Total_Disposed]]/Table1[[#This Row],[Total_Cases_for_Investigation]]</f>
        <v>0.55150047565510685</v>
      </c>
      <c r="AA31" s="1">
        <f>Table1[[#This Row],[FR_False]]/Table1[[#This Row],[Total_Final_Reports]]</f>
        <v>0.40411840411840411</v>
      </c>
      <c r="AB31" s="1">
        <f>Table1[[#This Row],[Cases_Reported]]-Table1[[#This Row],[Total_Disposed]]</f>
        <v>688</v>
      </c>
    </row>
    <row r="32" spans="1:28" x14ac:dyDescent="0.3">
      <c r="A32">
        <v>15.1</v>
      </c>
      <c r="B32" t="s">
        <v>37</v>
      </c>
      <c r="C32">
        <v>4369</v>
      </c>
      <c r="D32">
        <v>6933</v>
      </c>
      <c r="E32">
        <v>9</v>
      </c>
      <c r="F32">
        <v>11311</v>
      </c>
      <c r="G32">
        <v>0</v>
      </c>
      <c r="H32">
        <v>1</v>
      </c>
      <c r="I32">
        <v>0</v>
      </c>
      <c r="J32">
        <v>5</v>
      </c>
      <c r="K32">
        <v>306</v>
      </c>
      <c r="L32">
        <v>119</v>
      </c>
      <c r="M32">
        <v>299</v>
      </c>
      <c r="N32">
        <v>18</v>
      </c>
      <c r="O32">
        <v>747</v>
      </c>
      <c r="P32">
        <v>1781</v>
      </c>
      <c r="Q32">
        <v>3703</v>
      </c>
      <c r="R32">
        <v>5484</v>
      </c>
      <c r="S32">
        <v>6232</v>
      </c>
      <c r="T32">
        <v>1</v>
      </c>
      <c r="U32">
        <v>5</v>
      </c>
      <c r="V32">
        <v>5078</v>
      </c>
      <c r="W32">
        <v>88</v>
      </c>
      <c r="X32">
        <v>44.9</v>
      </c>
      <c r="Y32" s="1" t="b">
        <v>0</v>
      </c>
      <c r="Z32" s="1">
        <f>Table1[[#This Row],[Total_Disposed]]/Table1[[#This Row],[Total_Cases_for_Investigation]]</f>
        <v>0.5509680841658563</v>
      </c>
      <c r="AA32" s="1">
        <f>Table1[[#This Row],[FR_False]]/Table1[[#This Row],[Total_Final_Reports]]</f>
        <v>0.40963855421686746</v>
      </c>
      <c r="AB32" s="1">
        <f>Table1[[#This Row],[Cases_Reported]]-Table1[[#This Row],[Total_Disposed]]</f>
        <v>701</v>
      </c>
    </row>
    <row r="33" spans="1:28" x14ac:dyDescent="0.3">
      <c r="A33">
        <v>15.2</v>
      </c>
      <c r="B33" t="s">
        <v>39</v>
      </c>
      <c r="C33">
        <v>120</v>
      </c>
      <c r="D33">
        <v>132</v>
      </c>
      <c r="E33">
        <v>0</v>
      </c>
      <c r="F33">
        <v>252</v>
      </c>
      <c r="G33">
        <v>0</v>
      </c>
      <c r="H33">
        <v>0</v>
      </c>
      <c r="I33">
        <v>0</v>
      </c>
      <c r="J33">
        <v>0</v>
      </c>
      <c r="K33">
        <v>8</v>
      </c>
      <c r="L33">
        <v>15</v>
      </c>
      <c r="M33">
        <v>7</v>
      </c>
      <c r="N33">
        <v>0</v>
      </c>
      <c r="O33">
        <v>30</v>
      </c>
      <c r="P33">
        <v>34</v>
      </c>
      <c r="Q33">
        <v>81</v>
      </c>
      <c r="R33">
        <v>115</v>
      </c>
      <c r="S33">
        <v>145</v>
      </c>
      <c r="T33">
        <v>0</v>
      </c>
      <c r="U33">
        <v>0</v>
      </c>
      <c r="V33">
        <v>107</v>
      </c>
      <c r="W33">
        <v>79.3</v>
      </c>
      <c r="X33">
        <v>42.5</v>
      </c>
      <c r="Y33" s="1" t="b">
        <v>0</v>
      </c>
      <c r="Z33" s="1">
        <f>Table1[[#This Row],[Total_Disposed]]/Table1[[#This Row],[Total_Cases_for_Investigation]]</f>
        <v>0.57539682539682535</v>
      </c>
      <c r="AA33" s="1">
        <f>Table1[[#This Row],[FR_False]]/Table1[[#This Row],[Total_Final_Reports]]</f>
        <v>0.26666666666666666</v>
      </c>
      <c r="AB33" s="1">
        <f>Table1[[#This Row],[Cases_Reported]]-Table1[[#This Row],[Total_Disposed]]</f>
        <v>-13</v>
      </c>
    </row>
    <row r="34" spans="1:28" x14ac:dyDescent="0.3">
      <c r="A34" t="s">
        <v>50</v>
      </c>
      <c r="B34" t="s">
        <v>50</v>
      </c>
      <c r="C34">
        <v>171793</v>
      </c>
      <c r="D34">
        <v>311354</v>
      </c>
      <c r="E34">
        <v>137</v>
      </c>
      <c r="F34">
        <v>483284</v>
      </c>
      <c r="G34">
        <v>2</v>
      </c>
      <c r="H34">
        <v>331</v>
      </c>
      <c r="I34">
        <v>15</v>
      </c>
      <c r="J34">
        <v>607</v>
      </c>
      <c r="K34">
        <v>25314</v>
      </c>
      <c r="L34">
        <v>27130</v>
      </c>
      <c r="M34">
        <v>20738</v>
      </c>
      <c r="N34">
        <v>703</v>
      </c>
      <c r="O34">
        <v>74492</v>
      </c>
      <c r="P34">
        <v>70601</v>
      </c>
      <c r="Q34">
        <v>166412</v>
      </c>
      <c r="R34">
        <v>237013</v>
      </c>
      <c r="S34">
        <v>311838</v>
      </c>
      <c r="T34">
        <v>301</v>
      </c>
      <c r="U34">
        <v>218</v>
      </c>
      <c r="V34">
        <v>171130</v>
      </c>
      <c r="W34">
        <v>76</v>
      </c>
      <c r="X34">
        <v>35.4</v>
      </c>
      <c r="Y34" s="1" t="b">
        <v>1</v>
      </c>
      <c r="Z34" s="1">
        <f>Table1[[#This Row],[Total_Disposed]]/Table1[[#This Row],[Total_Cases_for_Investigation]]</f>
        <v>0.6452479287541073</v>
      </c>
      <c r="AA34" s="1">
        <f>Table1[[#This Row],[FR_False]]/Table1[[#This Row],[Total_Final_Reports]]</f>
        <v>0.33982172582290715</v>
      </c>
      <c r="AB34" s="1">
        <f>Table1[[#This Row],[Cases_Reported]]-Table1[[#This Row],[Total_Disposed]]</f>
        <v>-484</v>
      </c>
    </row>
    <row r="35" spans="1:28" x14ac:dyDescent="0.3">
      <c r="A35">
        <v>16</v>
      </c>
      <c r="B35" t="s">
        <v>51</v>
      </c>
      <c r="C35">
        <v>7484</v>
      </c>
      <c r="D35">
        <v>10366</v>
      </c>
      <c r="E35">
        <v>4</v>
      </c>
      <c r="F35">
        <v>17854</v>
      </c>
      <c r="G35">
        <v>0</v>
      </c>
      <c r="H35">
        <v>61</v>
      </c>
      <c r="I35">
        <v>0</v>
      </c>
      <c r="J35">
        <v>29</v>
      </c>
      <c r="K35">
        <v>297</v>
      </c>
      <c r="L35">
        <v>436</v>
      </c>
      <c r="M35">
        <v>703</v>
      </c>
      <c r="N35">
        <v>1</v>
      </c>
      <c r="O35">
        <v>1466</v>
      </c>
      <c r="P35">
        <v>3093</v>
      </c>
      <c r="Q35">
        <v>5511</v>
      </c>
      <c r="R35">
        <v>8604</v>
      </c>
      <c r="S35">
        <v>10131</v>
      </c>
      <c r="T35">
        <v>4</v>
      </c>
      <c r="U35">
        <v>16</v>
      </c>
      <c r="V35">
        <v>7719</v>
      </c>
      <c r="W35">
        <v>84.9</v>
      </c>
      <c r="X35">
        <v>43.2</v>
      </c>
      <c r="Y35" s="1" t="b">
        <v>0</v>
      </c>
      <c r="Z35" s="1">
        <f>Table1[[#This Row],[Total_Disposed]]/Table1[[#This Row],[Total_Cases_for_Investigation]]</f>
        <v>0.56743586871289342</v>
      </c>
      <c r="AA35" s="1">
        <f>Table1[[#This Row],[FR_False]]/Table1[[#This Row],[Total_Final_Reports]]</f>
        <v>0.20259208731241474</v>
      </c>
      <c r="AB35" s="1">
        <f>Table1[[#This Row],[Cases_Reported]]-Table1[[#This Row],[Total_Disposed]]</f>
        <v>235</v>
      </c>
    </row>
    <row r="36" spans="1:28" x14ac:dyDescent="0.3">
      <c r="A36">
        <v>17</v>
      </c>
      <c r="B36" t="s">
        <v>52</v>
      </c>
      <c r="C36">
        <v>1595</v>
      </c>
      <c r="D36">
        <v>868</v>
      </c>
      <c r="E36">
        <v>1</v>
      </c>
      <c r="F36">
        <v>2464</v>
      </c>
      <c r="G36">
        <v>0</v>
      </c>
      <c r="H36">
        <v>1</v>
      </c>
      <c r="I36">
        <v>0</v>
      </c>
      <c r="J36">
        <v>0</v>
      </c>
      <c r="K36">
        <v>12</v>
      </c>
      <c r="L36">
        <v>4</v>
      </c>
      <c r="M36">
        <v>11</v>
      </c>
      <c r="N36">
        <v>0</v>
      </c>
      <c r="O36">
        <v>27</v>
      </c>
      <c r="P36">
        <v>429</v>
      </c>
      <c r="Q36">
        <v>442</v>
      </c>
      <c r="R36">
        <v>871</v>
      </c>
      <c r="S36">
        <v>899</v>
      </c>
      <c r="T36">
        <v>0</v>
      </c>
      <c r="U36">
        <v>0</v>
      </c>
      <c r="V36">
        <v>1565</v>
      </c>
      <c r="W36">
        <v>96.9</v>
      </c>
      <c r="X36">
        <v>63.5</v>
      </c>
      <c r="Y36" s="1" t="b">
        <v>0</v>
      </c>
      <c r="Z36" s="1">
        <f>Table1[[#This Row],[Total_Disposed]]/Table1[[#This Row],[Total_Cases_for_Investigation]]</f>
        <v>0.36485389610389612</v>
      </c>
      <c r="AA36" s="1">
        <f>Table1[[#This Row],[FR_False]]/Table1[[#This Row],[Total_Final_Reports]]</f>
        <v>0.44444444444444442</v>
      </c>
      <c r="AB36" s="1">
        <f>Table1[[#This Row],[Cases_Reported]]-Table1[[#This Row],[Total_Disposed]]</f>
        <v>-31</v>
      </c>
    </row>
    <row r="37" spans="1:28" x14ac:dyDescent="0.3">
      <c r="A37">
        <v>17.100000000000001</v>
      </c>
      <c r="B37" t="s">
        <v>53</v>
      </c>
      <c r="C37">
        <v>765</v>
      </c>
      <c r="D37">
        <v>210</v>
      </c>
      <c r="E37">
        <v>0</v>
      </c>
      <c r="F37">
        <v>975</v>
      </c>
      <c r="G37">
        <v>0</v>
      </c>
      <c r="H37">
        <v>0</v>
      </c>
      <c r="I37">
        <v>0</v>
      </c>
      <c r="J37">
        <v>0</v>
      </c>
      <c r="K37">
        <v>9</v>
      </c>
      <c r="L37">
        <v>3</v>
      </c>
      <c r="M37">
        <v>1</v>
      </c>
      <c r="N37">
        <v>0</v>
      </c>
      <c r="O37">
        <v>13</v>
      </c>
      <c r="P37">
        <v>79</v>
      </c>
      <c r="Q37">
        <v>99</v>
      </c>
      <c r="R37">
        <v>178</v>
      </c>
      <c r="S37">
        <v>191</v>
      </c>
      <c r="T37">
        <v>0</v>
      </c>
      <c r="U37">
        <v>0</v>
      </c>
      <c r="V37">
        <v>784</v>
      </c>
      <c r="W37">
        <v>93.2</v>
      </c>
      <c r="X37">
        <v>80.400000000000006</v>
      </c>
      <c r="Y37" s="1" t="b">
        <v>0</v>
      </c>
      <c r="Z37" s="1">
        <f>Table1[[#This Row],[Total_Disposed]]/Table1[[#This Row],[Total_Cases_for_Investigation]]</f>
        <v>0.19589743589743588</v>
      </c>
      <c r="AA37" s="1">
        <f>Table1[[#This Row],[FR_False]]/Table1[[#This Row],[Total_Final_Reports]]</f>
        <v>0.69230769230769229</v>
      </c>
      <c r="AB37" s="1">
        <f>Table1[[#This Row],[Cases_Reported]]-Table1[[#This Row],[Total_Disposed]]</f>
        <v>19</v>
      </c>
    </row>
    <row r="38" spans="1:28" x14ac:dyDescent="0.3">
      <c r="A38">
        <v>17.2</v>
      </c>
      <c r="B38" t="s">
        <v>54</v>
      </c>
      <c r="C38">
        <v>111</v>
      </c>
      <c r="D38">
        <v>232</v>
      </c>
      <c r="E38">
        <v>1</v>
      </c>
      <c r="F38">
        <v>344</v>
      </c>
      <c r="G38">
        <v>0</v>
      </c>
      <c r="H38">
        <v>0</v>
      </c>
      <c r="I38">
        <v>0</v>
      </c>
      <c r="J38">
        <v>0</v>
      </c>
      <c r="K38">
        <v>0</v>
      </c>
      <c r="L38">
        <v>0</v>
      </c>
      <c r="M38">
        <v>1</v>
      </c>
      <c r="N38">
        <v>0</v>
      </c>
      <c r="O38">
        <v>1</v>
      </c>
      <c r="P38">
        <v>30</v>
      </c>
      <c r="Q38">
        <v>92</v>
      </c>
      <c r="R38">
        <v>122</v>
      </c>
      <c r="S38">
        <v>123</v>
      </c>
      <c r="T38">
        <v>0</v>
      </c>
      <c r="U38">
        <v>0</v>
      </c>
      <c r="V38">
        <v>221</v>
      </c>
      <c r="W38">
        <v>99.2</v>
      </c>
      <c r="X38">
        <v>64.2</v>
      </c>
      <c r="Y38" s="1" t="b">
        <v>0</v>
      </c>
      <c r="Z38" s="1">
        <f>Table1[[#This Row],[Total_Disposed]]/Table1[[#This Row],[Total_Cases_for_Investigation]]</f>
        <v>0.35755813953488375</v>
      </c>
      <c r="AA38" s="1">
        <f>Table1[[#This Row],[FR_False]]/Table1[[#This Row],[Total_Final_Reports]]</f>
        <v>0</v>
      </c>
      <c r="AB38" s="1">
        <f>Table1[[#This Row],[Cases_Reported]]-Table1[[#This Row],[Total_Disposed]]</f>
        <v>109</v>
      </c>
    </row>
    <row r="39" spans="1:28" x14ac:dyDescent="0.3">
      <c r="A39">
        <v>17.3</v>
      </c>
      <c r="B39" t="s">
        <v>55</v>
      </c>
      <c r="C39">
        <v>112</v>
      </c>
      <c r="D39">
        <v>112</v>
      </c>
      <c r="E39">
        <v>0</v>
      </c>
      <c r="F39">
        <v>224</v>
      </c>
      <c r="G39">
        <v>0</v>
      </c>
      <c r="H39">
        <v>0</v>
      </c>
      <c r="I39">
        <v>0</v>
      </c>
      <c r="J39">
        <v>0</v>
      </c>
      <c r="K39">
        <v>0</v>
      </c>
      <c r="L39">
        <v>0</v>
      </c>
      <c r="M39">
        <v>1</v>
      </c>
      <c r="N39">
        <v>0</v>
      </c>
      <c r="O39">
        <v>1</v>
      </c>
      <c r="P39">
        <v>43</v>
      </c>
      <c r="Q39">
        <v>73</v>
      </c>
      <c r="R39">
        <v>116</v>
      </c>
      <c r="S39">
        <v>117</v>
      </c>
      <c r="T39">
        <v>0</v>
      </c>
      <c r="U39">
        <v>0</v>
      </c>
      <c r="V39">
        <v>107</v>
      </c>
      <c r="W39">
        <v>99.1</v>
      </c>
      <c r="X39">
        <v>47.8</v>
      </c>
      <c r="Y39" s="1" t="b">
        <v>0</v>
      </c>
      <c r="Z39" s="1">
        <f>Table1[[#This Row],[Total_Disposed]]/Table1[[#This Row],[Total_Cases_for_Investigation]]</f>
        <v>0.5223214285714286</v>
      </c>
      <c r="AA39" s="1">
        <f>Table1[[#This Row],[FR_False]]/Table1[[#This Row],[Total_Final_Reports]]</f>
        <v>0</v>
      </c>
      <c r="AB39" s="1">
        <f>Table1[[#This Row],[Cases_Reported]]-Table1[[#This Row],[Total_Disposed]]</f>
        <v>-5</v>
      </c>
    </row>
    <row r="40" spans="1:28" x14ac:dyDescent="0.3">
      <c r="A40">
        <v>17.399999999999999</v>
      </c>
      <c r="B40" t="s">
        <v>56</v>
      </c>
      <c r="C40">
        <v>20</v>
      </c>
      <c r="D40">
        <v>30</v>
      </c>
      <c r="E40">
        <v>0</v>
      </c>
      <c r="F40">
        <v>50</v>
      </c>
      <c r="G40">
        <v>0</v>
      </c>
      <c r="H40">
        <v>0</v>
      </c>
      <c r="I40">
        <v>0</v>
      </c>
      <c r="J40">
        <v>0</v>
      </c>
      <c r="K40">
        <v>0</v>
      </c>
      <c r="L40">
        <v>0</v>
      </c>
      <c r="M40">
        <v>1</v>
      </c>
      <c r="N40">
        <v>0</v>
      </c>
      <c r="O40">
        <v>1</v>
      </c>
      <c r="P40">
        <v>10</v>
      </c>
      <c r="Q40">
        <v>22</v>
      </c>
      <c r="R40">
        <v>32</v>
      </c>
      <c r="S40">
        <v>33</v>
      </c>
      <c r="T40">
        <v>0</v>
      </c>
      <c r="U40">
        <v>0</v>
      </c>
      <c r="V40">
        <v>17</v>
      </c>
      <c r="W40">
        <v>97</v>
      </c>
      <c r="X40">
        <v>34</v>
      </c>
      <c r="Y40" s="1" t="b">
        <v>0</v>
      </c>
      <c r="Z40" s="1">
        <f>Table1[[#This Row],[Total_Disposed]]/Table1[[#This Row],[Total_Cases_for_Investigation]]</f>
        <v>0.66</v>
      </c>
      <c r="AA40" s="1">
        <f>Table1[[#This Row],[FR_False]]/Table1[[#This Row],[Total_Final_Reports]]</f>
        <v>0</v>
      </c>
      <c r="AB40" s="1">
        <f>Table1[[#This Row],[Cases_Reported]]-Table1[[#This Row],[Total_Disposed]]</f>
        <v>-3</v>
      </c>
    </row>
    <row r="41" spans="1:28" x14ac:dyDescent="0.3">
      <c r="A41">
        <v>17.5</v>
      </c>
      <c r="B41" t="s">
        <v>57</v>
      </c>
      <c r="C41">
        <v>587</v>
      </c>
      <c r="D41">
        <v>284</v>
      </c>
      <c r="E41">
        <v>0</v>
      </c>
      <c r="F41">
        <v>871</v>
      </c>
      <c r="G41">
        <v>0</v>
      </c>
      <c r="H41">
        <v>1</v>
      </c>
      <c r="I41">
        <v>0</v>
      </c>
      <c r="J41">
        <v>0</v>
      </c>
      <c r="K41">
        <v>3</v>
      </c>
      <c r="L41">
        <v>1</v>
      </c>
      <c r="M41">
        <v>7</v>
      </c>
      <c r="N41">
        <v>0</v>
      </c>
      <c r="O41">
        <v>11</v>
      </c>
      <c r="P41">
        <v>267</v>
      </c>
      <c r="Q41">
        <v>156</v>
      </c>
      <c r="R41">
        <v>423</v>
      </c>
      <c r="S41">
        <v>435</v>
      </c>
      <c r="T41">
        <v>0</v>
      </c>
      <c r="U41">
        <v>0</v>
      </c>
      <c r="V41">
        <v>436</v>
      </c>
      <c r="W41">
        <v>97.2</v>
      </c>
      <c r="X41">
        <v>50.1</v>
      </c>
      <c r="Y41" s="1" t="b">
        <v>0</v>
      </c>
      <c r="Z41" s="1">
        <f>Table1[[#This Row],[Total_Disposed]]/Table1[[#This Row],[Total_Cases_for_Investigation]]</f>
        <v>0.49942594718714123</v>
      </c>
      <c r="AA41" s="1">
        <f>Table1[[#This Row],[FR_False]]/Table1[[#This Row],[Total_Final_Reports]]</f>
        <v>0.27272727272727271</v>
      </c>
      <c r="AB41" s="1">
        <f>Table1[[#This Row],[Cases_Reported]]-Table1[[#This Row],[Total_Disposed]]</f>
        <v>-151</v>
      </c>
    </row>
    <row r="42" spans="1:28" x14ac:dyDescent="0.3">
      <c r="A42">
        <v>18</v>
      </c>
      <c r="B42" t="s">
        <v>58</v>
      </c>
      <c r="C42">
        <v>277</v>
      </c>
      <c r="D42">
        <v>446</v>
      </c>
      <c r="E42">
        <v>0</v>
      </c>
      <c r="F42">
        <v>723</v>
      </c>
      <c r="G42">
        <v>0</v>
      </c>
      <c r="H42">
        <v>0</v>
      </c>
      <c r="I42">
        <v>0</v>
      </c>
      <c r="J42">
        <v>0</v>
      </c>
      <c r="K42">
        <v>12</v>
      </c>
      <c r="L42">
        <v>2</v>
      </c>
      <c r="M42">
        <v>1</v>
      </c>
      <c r="N42">
        <v>0</v>
      </c>
      <c r="O42">
        <v>15</v>
      </c>
      <c r="P42">
        <v>43</v>
      </c>
      <c r="Q42">
        <v>317</v>
      </c>
      <c r="R42">
        <v>360</v>
      </c>
      <c r="S42">
        <v>375</v>
      </c>
      <c r="T42">
        <v>0</v>
      </c>
      <c r="U42">
        <v>0</v>
      </c>
      <c r="V42">
        <v>348</v>
      </c>
      <c r="W42">
        <v>96</v>
      </c>
      <c r="X42">
        <v>48.1</v>
      </c>
      <c r="Y42" s="1" t="b">
        <v>0</v>
      </c>
      <c r="Z42" s="1">
        <f>Table1[[#This Row],[Total_Disposed]]/Table1[[#This Row],[Total_Cases_for_Investigation]]</f>
        <v>0.51867219917012453</v>
      </c>
      <c r="AA42" s="1">
        <f>Table1[[#This Row],[FR_False]]/Table1[[#This Row],[Total_Final_Reports]]</f>
        <v>0.8</v>
      </c>
      <c r="AB42" s="1">
        <f>Table1[[#This Row],[Cases_Reported]]-Table1[[#This Row],[Total_Disposed]]</f>
        <v>71</v>
      </c>
    </row>
    <row r="43" spans="1:28" x14ac:dyDescent="0.3">
      <c r="A43">
        <v>19</v>
      </c>
      <c r="B43" t="s">
        <v>59</v>
      </c>
      <c r="C43">
        <v>1684</v>
      </c>
      <c r="D43">
        <v>2334</v>
      </c>
      <c r="E43">
        <v>4</v>
      </c>
      <c r="F43">
        <v>4022</v>
      </c>
      <c r="G43">
        <v>0</v>
      </c>
      <c r="H43">
        <v>6</v>
      </c>
      <c r="I43">
        <v>0</v>
      </c>
      <c r="J43">
        <v>1</v>
      </c>
      <c r="K43">
        <v>67</v>
      </c>
      <c r="L43">
        <v>62</v>
      </c>
      <c r="M43">
        <v>444</v>
      </c>
      <c r="N43">
        <v>4</v>
      </c>
      <c r="O43">
        <v>578</v>
      </c>
      <c r="P43">
        <v>141</v>
      </c>
      <c r="Q43">
        <v>665</v>
      </c>
      <c r="R43">
        <v>806</v>
      </c>
      <c r="S43">
        <v>1390</v>
      </c>
      <c r="T43">
        <v>3</v>
      </c>
      <c r="U43">
        <v>0</v>
      </c>
      <c r="V43">
        <v>2629</v>
      </c>
      <c r="W43">
        <v>58</v>
      </c>
      <c r="X43">
        <v>65.400000000000006</v>
      </c>
      <c r="Y43" s="1" t="b">
        <v>0</v>
      </c>
      <c r="Z43" s="1">
        <f>Table1[[#This Row],[Total_Disposed]]/Table1[[#This Row],[Total_Cases_for_Investigation]]</f>
        <v>0.34559920437593239</v>
      </c>
      <c r="AA43" s="1">
        <f>Table1[[#This Row],[FR_False]]/Table1[[#This Row],[Total_Final_Reports]]</f>
        <v>0.11591695501730104</v>
      </c>
      <c r="AB43" s="1">
        <f>Table1[[#This Row],[Cases_Reported]]-Table1[[#This Row],[Total_Disposed]]</f>
        <v>944</v>
      </c>
    </row>
    <row r="44" spans="1:28" x14ac:dyDescent="0.3">
      <c r="A44">
        <v>19.100000000000001</v>
      </c>
      <c r="B44" t="s">
        <v>60</v>
      </c>
      <c r="C44">
        <v>1131</v>
      </c>
      <c r="D44">
        <v>1655</v>
      </c>
      <c r="E44">
        <v>0</v>
      </c>
      <c r="F44">
        <v>2786</v>
      </c>
      <c r="G44">
        <v>0</v>
      </c>
      <c r="H44">
        <v>6</v>
      </c>
      <c r="I44">
        <v>0</v>
      </c>
      <c r="J44">
        <v>1</v>
      </c>
      <c r="K44">
        <v>50</v>
      </c>
      <c r="L44">
        <v>43</v>
      </c>
      <c r="M44">
        <v>289</v>
      </c>
      <c r="N44">
        <v>4</v>
      </c>
      <c r="O44">
        <v>387</v>
      </c>
      <c r="P44">
        <v>114</v>
      </c>
      <c r="Q44">
        <v>576</v>
      </c>
      <c r="R44">
        <v>690</v>
      </c>
      <c r="S44">
        <v>1083</v>
      </c>
      <c r="T44">
        <v>2</v>
      </c>
      <c r="U44">
        <v>0</v>
      </c>
      <c r="V44">
        <v>1701</v>
      </c>
      <c r="W44">
        <v>63.7</v>
      </c>
      <c r="X44">
        <v>61.1</v>
      </c>
      <c r="Y44" s="1" t="b">
        <v>0</v>
      </c>
      <c r="Z44" s="1">
        <f>Table1[[#This Row],[Total_Disposed]]/Table1[[#This Row],[Total_Cases_for_Investigation]]</f>
        <v>0.38872936109117012</v>
      </c>
      <c r="AA44" s="1">
        <f>Table1[[#This Row],[FR_False]]/Table1[[#This Row],[Total_Final_Reports]]</f>
        <v>0.12919896640826872</v>
      </c>
      <c r="AB44" s="1">
        <f>Table1[[#This Row],[Cases_Reported]]-Table1[[#This Row],[Total_Disposed]]</f>
        <v>572</v>
      </c>
    </row>
    <row r="45" spans="1:28" x14ac:dyDescent="0.3">
      <c r="A45">
        <v>19.2</v>
      </c>
      <c r="B45" t="s">
        <v>61</v>
      </c>
      <c r="C45">
        <v>553</v>
      </c>
      <c r="D45">
        <v>679</v>
      </c>
      <c r="E45">
        <v>4</v>
      </c>
      <c r="F45">
        <v>1236</v>
      </c>
      <c r="G45">
        <v>0</v>
      </c>
      <c r="H45">
        <v>0</v>
      </c>
      <c r="I45">
        <v>0</v>
      </c>
      <c r="J45">
        <v>0</v>
      </c>
      <c r="K45">
        <v>17</v>
      </c>
      <c r="L45">
        <v>19</v>
      </c>
      <c r="M45">
        <v>155</v>
      </c>
      <c r="N45">
        <v>0</v>
      </c>
      <c r="O45">
        <v>191</v>
      </c>
      <c r="P45">
        <v>27</v>
      </c>
      <c r="Q45">
        <v>89</v>
      </c>
      <c r="R45">
        <v>116</v>
      </c>
      <c r="S45">
        <v>307</v>
      </c>
      <c r="T45">
        <v>1</v>
      </c>
      <c r="U45">
        <v>0</v>
      </c>
      <c r="V45">
        <v>928</v>
      </c>
      <c r="W45">
        <v>37.799999999999997</v>
      </c>
      <c r="X45">
        <v>75.099999999999994</v>
      </c>
      <c r="Y45" s="1" t="b">
        <v>0</v>
      </c>
      <c r="Z45" s="1">
        <f>Table1[[#This Row],[Total_Disposed]]/Table1[[#This Row],[Total_Cases_for_Investigation]]</f>
        <v>0.24838187702265371</v>
      </c>
      <c r="AA45" s="1">
        <f>Table1[[#This Row],[FR_False]]/Table1[[#This Row],[Total_Final_Reports]]</f>
        <v>8.9005235602094238E-2</v>
      </c>
      <c r="AB45" s="1">
        <f>Table1[[#This Row],[Cases_Reported]]-Table1[[#This Row],[Total_Disposed]]</f>
        <v>372</v>
      </c>
    </row>
    <row r="46" spans="1:28" x14ac:dyDescent="0.3">
      <c r="A46">
        <v>20</v>
      </c>
      <c r="B46" t="s">
        <v>62</v>
      </c>
      <c r="C46">
        <v>18505</v>
      </c>
      <c r="D46">
        <v>46123</v>
      </c>
      <c r="E46">
        <v>38</v>
      </c>
      <c r="F46">
        <v>64666</v>
      </c>
      <c r="G46">
        <v>2</v>
      </c>
      <c r="H46">
        <v>86</v>
      </c>
      <c r="I46">
        <v>2</v>
      </c>
      <c r="J46">
        <v>35</v>
      </c>
      <c r="K46">
        <v>747</v>
      </c>
      <c r="L46">
        <v>450</v>
      </c>
      <c r="M46">
        <v>1065</v>
      </c>
      <c r="N46">
        <v>52</v>
      </c>
      <c r="O46">
        <v>2349</v>
      </c>
      <c r="P46">
        <v>9607</v>
      </c>
      <c r="Q46">
        <v>34034</v>
      </c>
      <c r="R46">
        <v>43641</v>
      </c>
      <c r="S46">
        <v>46078</v>
      </c>
      <c r="T46">
        <v>20</v>
      </c>
      <c r="U46">
        <v>5</v>
      </c>
      <c r="V46">
        <v>18566</v>
      </c>
      <c r="W46">
        <v>94.7</v>
      </c>
      <c r="X46">
        <v>28.7</v>
      </c>
      <c r="Y46" s="1" t="b">
        <v>0</v>
      </c>
      <c r="Z46" s="1">
        <f>Table1[[#This Row],[Total_Disposed]]/Table1[[#This Row],[Total_Cases_for_Investigation]]</f>
        <v>0.7125537376673986</v>
      </c>
      <c r="AA46" s="1">
        <f>Table1[[#This Row],[FR_False]]/Table1[[#This Row],[Total_Final_Reports]]</f>
        <v>0.31800766283524906</v>
      </c>
      <c r="AB46" s="1">
        <f>Table1[[#This Row],[Cases_Reported]]-Table1[[#This Row],[Total_Disposed]]</f>
        <v>45</v>
      </c>
    </row>
    <row r="47" spans="1:28" x14ac:dyDescent="0.3">
      <c r="A47">
        <v>20.100000000000001</v>
      </c>
      <c r="B47" t="s">
        <v>63</v>
      </c>
      <c r="C47">
        <v>9852</v>
      </c>
      <c r="D47">
        <v>27807</v>
      </c>
      <c r="E47">
        <v>36</v>
      </c>
      <c r="F47">
        <v>37695</v>
      </c>
      <c r="G47">
        <v>2</v>
      </c>
      <c r="H47">
        <v>78</v>
      </c>
      <c r="I47">
        <v>1</v>
      </c>
      <c r="J47">
        <v>19</v>
      </c>
      <c r="K47">
        <v>299</v>
      </c>
      <c r="L47">
        <v>132</v>
      </c>
      <c r="M47">
        <v>424</v>
      </c>
      <c r="N47">
        <v>30</v>
      </c>
      <c r="O47">
        <v>904</v>
      </c>
      <c r="P47">
        <v>5612</v>
      </c>
      <c r="Q47">
        <v>20674</v>
      </c>
      <c r="R47">
        <v>26286</v>
      </c>
      <c r="S47">
        <v>27270</v>
      </c>
      <c r="T47">
        <v>11</v>
      </c>
      <c r="U47">
        <v>2</v>
      </c>
      <c r="V47">
        <v>10413</v>
      </c>
      <c r="W47">
        <v>96.4</v>
      </c>
      <c r="X47">
        <v>27.6</v>
      </c>
      <c r="Y47" s="1" t="b">
        <v>0</v>
      </c>
      <c r="Z47" s="1">
        <f>Table1[[#This Row],[Total_Disposed]]/Table1[[#This Row],[Total_Cases_for_Investigation]]</f>
        <v>0.72343812176681255</v>
      </c>
      <c r="AA47" s="1">
        <f>Table1[[#This Row],[FR_False]]/Table1[[#This Row],[Total_Final_Reports]]</f>
        <v>0.33075221238938052</v>
      </c>
      <c r="AB47" s="1">
        <f>Table1[[#This Row],[Cases_Reported]]-Table1[[#This Row],[Total_Disposed]]</f>
        <v>537</v>
      </c>
    </row>
    <row r="48" spans="1:28" x14ac:dyDescent="0.3">
      <c r="A48">
        <v>20.2</v>
      </c>
      <c r="B48" t="s">
        <v>64</v>
      </c>
      <c r="C48">
        <v>6622</v>
      </c>
      <c r="D48">
        <v>15515</v>
      </c>
      <c r="E48">
        <v>1</v>
      </c>
      <c r="F48">
        <v>22138</v>
      </c>
      <c r="G48">
        <v>0</v>
      </c>
      <c r="H48">
        <v>6</v>
      </c>
      <c r="I48">
        <v>0</v>
      </c>
      <c r="J48">
        <v>13</v>
      </c>
      <c r="K48">
        <v>301</v>
      </c>
      <c r="L48">
        <v>236</v>
      </c>
      <c r="M48">
        <v>524</v>
      </c>
      <c r="N48">
        <v>21</v>
      </c>
      <c r="O48">
        <v>1095</v>
      </c>
      <c r="P48">
        <v>3154</v>
      </c>
      <c r="Q48">
        <v>11666</v>
      </c>
      <c r="R48">
        <v>14820</v>
      </c>
      <c r="S48">
        <v>15921</v>
      </c>
      <c r="T48">
        <v>4</v>
      </c>
      <c r="U48">
        <v>1</v>
      </c>
      <c r="V48">
        <v>6213</v>
      </c>
      <c r="W48">
        <v>93.1</v>
      </c>
      <c r="X48">
        <v>28.1</v>
      </c>
      <c r="Y48" s="1" t="b">
        <v>0</v>
      </c>
      <c r="Z48" s="1">
        <f>Table1[[#This Row],[Total_Disposed]]/Table1[[#This Row],[Total_Cases_for_Investigation]]</f>
        <v>0.7191706567892312</v>
      </c>
      <c r="AA48" s="1">
        <f>Table1[[#This Row],[FR_False]]/Table1[[#This Row],[Total_Final_Reports]]</f>
        <v>0.27488584474885847</v>
      </c>
      <c r="AB48" s="1">
        <f>Table1[[#This Row],[Cases_Reported]]-Table1[[#This Row],[Total_Disposed]]</f>
        <v>-406</v>
      </c>
    </row>
    <row r="49" spans="1:28" x14ac:dyDescent="0.3">
      <c r="A49">
        <v>20.3</v>
      </c>
      <c r="B49" t="s">
        <v>65</v>
      </c>
      <c r="C49">
        <v>993</v>
      </c>
      <c r="D49">
        <v>1628</v>
      </c>
      <c r="E49">
        <v>1</v>
      </c>
      <c r="F49">
        <v>2622</v>
      </c>
      <c r="G49">
        <v>0</v>
      </c>
      <c r="H49">
        <v>2</v>
      </c>
      <c r="I49">
        <v>1</v>
      </c>
      <c r="J49">
        <v>2</v>
      </c>
      <c r="K49">
        <v>74</v>
      </c>
      <c r="L49">
        <v>36</v>
      </c>
      <c r="M49">
        <v>44</v>
      </c>
      <c r="N49">
        <v>0</v>
      </c>
      <c r="O49">
        <v>156</v>
      </c>
      <c r="P49">
        <v>438</v>
      </c>
      <c r="Q49">
        <v>1039</v>
      </c>
      <c r="R49">
        <v>1477</v>
      </c>
      <c r="S49">
        <v>1635</v>
      </c>
      <c r="T49">
        <v>5</v>
      </c>
      <c r="U49">
        <v>1</v>
      </c>
      <c r="V49">
        <v>981</v>
      </c>
      <c r="W49">
        <v>90.3</v>
      </c>
      <c r="X49">
        <v>37.4</v>
      </c>
      <c r="Y49" s="1" t="b">
        <v>0</v>
      </c>
      <c r="Z49" s="1">
        <f>Table1[[#This Row],[Total_Disposed]]/Table1[[#This Row],[Total_Cases_for_Investigation]]</f>
        <v>0.6235697940503433</v>
      </c>
      <c r="AA49" s="1">
        <f>Table1[[#This Row],[FR_False]]/Table1[[#This Row],[Total_Final_Reports]]</f>
        <v>0.47435897435897434</v>
      </c>
      <c r="AB49" s="1">
        <f>Table1[[#This Row],[Cases_Reported]]-Table1[[#This Row],[Total_Disposed]]</f>
        <v>-7</v>
      </c>
    </row>
    <row r="50" spans="1:28" x14ac:dyDescent="0.3">
      <c r="A50">
        <v>20.399999999999999</v>
      </c>
      <c r="B50" t="s">
        <v>66</v>
      </c>
      <c r="C50">
        <v>647</v>
      </c>
      <c r="D50">
        <v>553</v>
      </c>
      <c r="E50">
        <v>0</v>
      </c>
      <c r="F50">
        <v>1200</v>
      </c>
      <c r="G50">
        <v>0</v>
      </c>
      <c r="H50">
        <v>0</v>
      </c>
      <c r="I50">
        <v>0</v>
      </c>
      <c r="J50">
        <v>0</v>
      </c>
      <c r="K50">
        <v>14</v>
      </c>
      <c r="L50">
        <v>33</v>
      </c>
      <c r="M50">
        <v>11</v>
      </c>
      <c r="N50">
        <v>0</v>
      </c>
      <c r="O50">
        <v>58</v>
      </c>
      <c r="P50">
        <v>238</v>
      </c>
      <c r="Q50">
        <v>272</v>
      </c>
      <c r="R50">
        <v>510</v>
      </c>
      <c r="S50">
        <v>568</v>
      </c>
      <c r="T50">
        <v>0</v>
      </c>
      <c r="U50">
        <v>0</v>
      </c>
      <c r="V50">
        <v>632</v>
      </c>
      <c r="W50">
        <v>89.8</v>
      </c>
      <c r="X50">
        <v>52.7</v>
      </c>
      <c r="Y50" s="1" t="b">
        <v>0</v>
      </c>
      <c r="Z50" s="1">
        <f>Table1[[#This Row],[Total_Disposed]]/Table1[[#This Row],[Total_Cases_for_Investigation]]</f>
        <v>0.47333333333333333</v>
      </c>
      <c r="AA50" s="1">
        <f>Table1[[#This Row],[FR_False]]/Table1[[#This Row],[Total_Final_Reports]]</f>
        <v>0.2413793103448276</v>
      </c>
      <c r="AB50" s="1">
        <f>Table1[[#This Row],[Cases_Reported]]-Table1[[#This Row],[Total_Disposed]]</f>
        <v>-15</v>
      </c>
    </row>
    <row r="51" spans="1:28" x14ac:dyDescent="0.3">
      <c r="A51">
        <v>20.5</v>
      </c>
      <c r="B51" t="s">
        <v>67</v>
      </c>
      <c r="C51">
        <v>282</v>
      </c>
      <c r="D51">
        <v>593</v>
      </c>
      <c r="E51">
        <v>0</v>
      </c>
      <c r="F51">
        <v>875</v>
      </c>
      <c r="G51">
        <v>0</v>
      </c>
      <c r="H51">
        <v>0</v>
      </c>
      <c r="I51">
        <v>0</v>
      </c>
      <c r="J51">
        <v>1</v>
      </c>
      <c r="K51">
        <v>58</v>
      </c>
      <c r="L51">
        <v>12</v>
      </c>
      <c r="M51">
        <v>57</v>
      </c>
      <c r="N51">
        <v>1</v>
      </c>
      <c r="O51">
        <v>129</v>
      </c>
      <c r="P51">
        <v>153</v>
      </c>
      <c r="Q51">
        <v>366</v>
      </c>
      <c r="R51">
        <v>519</v>
      </c>
      <c r="S51">
        <v>648</v>
      </c>
      <c r="T51">
        <v>0</v>
      </c>
      <c r="U51">
        <v>1</v>
      </c>
      <c r="V51">
        <v>227</v>
      </c>
      <c r="W51">
        <v>80.099999999999994</v>
      </c>
      <c r="X51">
        <v>25.9</v>
      </c>
      <c r="Y51" s="1" t="b">
        <v>0</v>
      </c>
      <c r="Z51" s="1">
        <f>Table1[[#This Row],[Total_Disposed]]/Table1[[#This Row],[Total_Cases_for_Investigation]]</f>
        <v>0.74057142857142855</v>
      </c>
      <c r="AA51" s="1">
        <f>Table1[[#This Row],[FR_False]]/Table1[[#This Row],[Total_Final_Reports]]</f>
        <v>0.44961240310077522</v>
      </c>
      <c r="AB51" s="1">
        <f>Table1[[#This Row],[Cases_Reported]]-Table1[[#This Row],[Total_Disposed]]</f>
        <v>-55</v>
      </c>
    </row>
    <row r="52" spans="1:28" x14ac:dyDescent="0.3">
      <c r="A52">
        <v>20.6</v>
      </c>
      <c r="B52" t="s">
        <v>68</v>
      </c>
      <c r="C52">
        <v>109</v>
      </c>
      <c r="D52">
        <v>27</v>
      </c>
      <c r="E52">
        <v>0</v>
      </c>
      <c r="F52">
        <v>136</v>
      </c>
      <c r="G52">
        <v>0</v>
      </c>
      <c r="H52">
        <v>0</v>
      </c>
      <c r="I52">
        <v>0</v>
      </c>
      <c r="J52">
        <v>0</v>
      </c>
      <c r="K52">
        <v>1</v>
      </c>
      <c r="L52">
        <v>1</v>
      </c>
      <c r="M52">
        <v>5</v>
      </c>
      <c r="N52">
        <v>0</v>
      </c>
      <c r="O52">
        <v>7</v>
      </c>
      <c r="P52">
        <v>12</v>
      </c>
      <c r="Q52">
        <v>17</v>
      </c>
      <c r="R52">
        <v>29</v>
      </c>
      <c r="S52">
        <v>36</v>
      </c>
      <c r="T52">
        <v>0</v>
      </c>
      <c r="U52">
        <v>0</v>
      </c>
      <c r="V52">
        <v>100</v>
      </c>
      <c r="W52">
        <v>80.599999999999994</v>
      </c>
      <c r="X52">
        <v>73.5</v>
      </c>
      <c r="Y52" s="1" t="b">
        <v>0</v>
      </c>
      <c r="Z52" s="1">
        <f>Table1[[#This Row],[Total_Disposed]]/Table1[[#This Row],[Total_Cases_for_Investigation]]</f>
        <v>0.26470588235294118</v>
      </c>
      <c r="AA52" s="1">
        <f>Table1[[#This Row],[FR_False]]/Table1[[#This Row],[Total_Final_Reports]]</f>
        <v>0.14285714285714285</v>
      </c>
      <c r="AB52" s="1">
        <f>Table1[[#This Row],[Cases_Reported]]-Table1[[#This Row],[Total_Disposed]]</f>
        <v>-9</v>
      </c>
    </row>
    <row r="53" spans="1:28" x14ac:dyDescent="0.3">
      <c r="A53">
        <v>21</v>
      </c>
      <c r="B53" t="s">
        <v>69</v>
      </c>
      <c r="C53">
        <v>24</v>
      </c>
      <c r="D53">
        <v>12</v>
      </c>
      <c r="E53">
        <v>0</v>
      </c>
      <c r="F53">
        <v>36</v>
      </c>
      <c r="G53">
        <v>0</v>
      </c>
      <c r="H53">
        <v>0</v>
      </c>
      <c r="I53">
        <v>0</v>
      </c>
      <c r="J53">
        <v>0</v>
      </c>
      <c r="K53">
        <v>0</v>
      </c>
      <c r="L53">
        <v>1</v>
      </c>
      <c r="M53">
        <v>1</v>
      </c>
      <c r="N53">
        <v>0</v>
      </c>
      <c r="O53">
        <v>2</v>
      </c>
      <c r="P53">
        <v>4</v>
      </c>
      <c r="Q53">
        <v>4</v>
      </c>
      <c r="R53">
        <v>8</v>
      </c>
      <c r="S53">
        <v>10</v>
      </c>
      <c r="T53">
        <v>0</v>
      </c>
      <c r="U53">
        <v>0</v>
      </c>
      <c r="V53">
        <v>26</v>
      </c>
      <c r="W53">
        <v>80</v>
      </c>
      <c r="X53">
        <v>72.2</v>
      </c>
      <c r="Y53" s="1" t="b">
        <v>0</v>
      </c>
      <c r="Z53" s="1">
        <f>Table1[[#This Row],[Total_Disposed]]/Table1[[#This Row],[Total_Cases_for_Investigation]]</f>
        <v>0.27777777777777779</v>
      </c>
      <c r="AA53" s="1">
        <f>Table1[[#This Row],[FR_False]]/Table1[[#This Row],[Total_Final_Reports]]</f>
        <v>0</v>
      </c>
      <c r="AB53" s="1">
        <f>Table1[[#This Row],[Cases_Reported]]-Table1[[#This Row],[Total_Disposed]]</f>
        <v>2</v>
      </c>
    </row>
    <row r="54" spans="1:28" s="9" customFormat="1" x14ac:dyDescent="0.3">
      <c r="A54" s="9" t="s">
        <v>70</v>
      </c>
      <c r="B54" s="9" t="s">
        <v>70</v>
      </c>
      <c r="C54" s="9">
        <v>29569</v>
      </c>
      <c r="D54" s="9">
        <v>60149</v>
      </c>
      <c r="E54" s="9">
        <v>47</v>
      </c>
      <c r="F54" s="9">
        <v>89765</v>
      </c>
      <c r="G54" s="9">
        <v>2</v>
      </c>
      <c r="H54" s="9">
        <v>154</v>
      </c>
      <c r="I54" s="9">
        <v>2</v>
      </c>
      <c r="J54" s="9">
        <v>65</v>
      </c>
      <c r="K54" s="9">
        <v>1135</v>
      </c>
      <c r="L54" s="9">
        <v>955</v>
      </c>
      <c r="M54" s="9">
        <v>2225</v>
      </c>
      <c r="N54" s="9">
        <v>57</v>
      </c>
      <c r="O54" s="9">
        <v>4437</v>
      </c>
      <c r="P54" s="9">
        <v>13317</v>
      </c>
      <c r="Q54" s="9">
        <v>40973</v>
      </c>
      <c r="R54" s="9">
        <v>54290</v>
      </c>
      <c r="S54" s="9">
        <v>58883</v>
      </c>
      <c r="T54" s="9">
        <v>27</v>
      </c>
      <c r="U54" s="9">
        <v>21</v>
      </c>
      <c r="V54" s="9">
        <v>30853</v>
      </c>
      <c r="W54" s="9">
        <v>92.2</v>
      </c>
      <c r="X54" s="9">
        <v>34.4</v>
      </c>
      <c r="Y54" s="9" t="b">
        <v>1</v>
      </c>
      <c r="Z54" s="9">
        <f>Table1[[#This Row],[Total_Disposed]]/Table1[[#This Row],[Total_Cases_for_Investigation]]</f>
        <v>0.65596836183367679</v>
      </c>
      <c r="AA54" s="9">
        <f>Table1[[#This Row],[FR_False]]/Table1[[#This Row],[Total_Final_Reports]]</f>
        <v>0.25580347081361282</v>
      </c>
      <c r="AB54" s="9">
        <f>Table1[[#This Row],[Cases_Reported]]-Table1[[#This Row],[Total_Disposed]]</f>
        <v>1266</v>
      </c>
    </row>
    <row r="55" spans="1:28" x14ac:dyDescent="0.3">
      <c r="A55" t="s">
        <v>71</v>
      </c>
      <c r="B55" t="s">
        <v>71</v>
      </c>
      <c r="C55">
        <v>201362</v>
      </c>
      <c r="D55">
        <v>371503</v>
      </c>
      <c r="E55">
        <v>184</v>
      </c>
      <c r="F55">
        <v>573049</v>
      </c>
      <c r="G55">
        <v>4</v>
      </c>
      <c r="H55">
        <v>485</v>
      </c>
      <c r="I55">
        <v>17</v>
      </c>
      <c r="J55">
        <v>672</v>
      </c>
      <c r="K55">
        <v>26449</v>
      </c>
      <c r="L55">
        <v>28085</v>
      </c>
      <c r="M55">
        <v>22963</v>
      </c>
      <c r="N55">
        <v>760</v>
      </c>
      <c r="O55">
        <v>78929</v>
      </c>
      <c r="P55">
        <v>83918</v>
      </c>
      <c r="Q55">
        <v>207385</v>
      </c>
      <c r="R55">
        <v>291303</v>
      </c>
      <c r="S55">
        <v>370721</v>
      </c>
      <c r="T55">
        <v>328</v>
      </c>
      <c r="U55">
        <v>239</v>
      </c>
      <c r="V55">
        <v>201983</v>
      </c>
      <c r="W55">
        <v>78.599999999999994</v>
      </c>
      <c r="X55">
        <v>35.200000000000003</v>
      </c>
      <c r="Y55" s="1" t="b">
        <v>1</v>
      </c>
      <c r="Z55" s="1">
        <f>Table1[[#This Row],[Total_Disposed]]/Table1[[#This Row],[Total_Cases_for_Investigation]]</f>
        <v>0.64692722611853437</v>
      </c>
      <c r="AA55" s="1">
        <f>Table1[[#This Row],[FR_False]]/Table1[[#This Row],[Total_Final_Reports]]</f>
        <v>0.33509863294859937</v>
      </c>
      <c r="AB55" s="1">
        <f>Table1[[#This Row],[Cases_Reported]]-Table1[[#This Row],[Total_Disposed]]</f>
        <v>782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9D511-A487-4494-BEDB-5C9EC78FA50A}">
  <dimension ref="A1:AC54"/>
  <sheetViews>
    <sheetView tabSelected="1" topLeftCell="A5" zoomScale="67" workbookViewId="0">
      <selection activeCell="J40" sqref="J40"/>
    </sheetView>
  </sheetViews>
  <sheetFormatPr defaultRowHeight="14.4" x14ac:dyDescent="0.3"/>
  <cols>
    <col min="1" max="1" width="54.5546875" bestFit="1" customWidth="1"/>
    <col min="2" max="2" width="21.109375" bestFit="1" customWidth="1"/>
  </cols>
  <sheetData>
    <row r="1" spans="1:29" x14ac:dyDescent="0.3">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19" t="s">
        <v>23</v>
      </c>
      <c r="Y1" s="10" t="s">
        <v>72</v>
      </c>
      <c r="Z1" s="10" t="s">
        <v>73</v>
      </c>
      <c r="AA1" s="10" t="s">
        <v>74</v>
      </c>
      <c r="AB1" s="11" t="s">
        <v>75</v>
      </c>
      <c r="AC1" s="17" t="s">
        <v>79</v>
      </c>
    </row>
    <row r="2" spans="1:29" x14ac:dyDescent="0.3">
      <c r="A2" s="4" t="s">
        <v>50</v>
      </c>
      <c r="B2" s="5" t="s">
        <v>50</v>
      </c>
      <c r="C2" s="5">
        <v>171793</v>
      </c>
      <c r="D2" s="5">
        <v>311354</v>
      </c>
      <c r="E2" s="5">
        <v>137</v>
      </c>
      <c r="F2" s="5">
        <v>483284</v>
      </c>
      <c r="G2" s="5">
        <v>2</v>
      </c>
      <c r="H2" s="5">
        <v>331</v>
      </c>
      <c r="I2" s="5">
        <v>15</v>
      </c>
      <c r="J2" s="5">
        <v>607</v>
      </c>
      <c r="K2" s="5">
        <v>25314</v>
      </c>
      <c r="L2" s="5">
        <v>27130</v>
      </c>
      <c r="M2" s="5">
        <v>20738</v>
      </c>
      <c r="N2" s="5">
        <v>703</v>
      </c>
      <c r="O2" s="5">
        <v>74492</v>
      </c>
      <c r="P2" s="5">
        <v>70601</v>
      </c>
      <c r="Q2" s="5">
        <v>166412</v>
      </c>
      <c r="R2" s="5">
        <v>237013</v>
      </c>
      <c r="S2" s="5">
        <v>311838</v>
      </c>
      <c r="T2" s="5">
        <v>301</v>
      </c>
      <c r="U2" s="5">
        <v>218</v>
      </c>
      <c r="V2" s="5">
        <v>171130</v>
      </c>
      <c r="W2" s="5">
        <v>76</v>
      </c>
      <c r="X2" s="20">
        <v>35.4</v>
      </c>
      <c r="Y2" s="12" t="b">
        <v>1</v>
      </c>
      <c r="Z2" s="12">
        <v>0.6452479287541073</v>
      </c>
      <c r="AA2" s="12">
        <v>0.33982172582290715</v>
      </c>
      <c r="AB2" s="13">
        <v>-484</v>
      </c>
      <c r="AC2" s="18">
        <f>R2/S2</f>
        <v>0.76005169350752633</v>
      </c>
    </row>
    <row r="3" spans="1:29" x14ac:dyDescent="0.3">
      <c r="A3" s="14" t="s">
        <v>70</v>
      </c>
      <c r="B3" s="15" t="s">
        <v>70</v>
      </c>
      <c r="C3" s="15">
        <v>29569</v>
      </c>
      <c r="D3" s="15">
        <v>60149</v>
      </c>
      <c r="E3" s="15">
        <v>47</v>
      </c>
      <c r="F3" s="15">
        <v>89765</v>
      </c>
      <c r="G3" s="15">
        <v>2</v>
      </c>
      <c r="H3" s="15">
        <v>154</v>
      </c>
      <c r="I3" s="15">
        <v>2</v>
      </c>
      <c r="J3" s="15">
        <v>65</v>
      </c>
      <c r="K3" s="15">
        <v>1135</v>
      </c>
      <c r="L3" s="15">
        <v>955</v>
      </c>
      <c r="M3" s="15">
        <v>2225</v>
      </c>
      <c r="N3" s="15">
        <v>57</v>
      </c>
      <c r="O3" s="15">
        <v>4437</v>
      </c>
      <c r="P3" s="15">
        <v>13317</v>
      </c>
      <c r="Q3" s="15">
        <v>40973</v>
      </c>
      <c r="R3" s="15">
        <v>54290</v>
      </c>
      <c r="S3" s="15">
        <v>58883</v>
      </c>
      <c r="T3" s="15">
        <v>27</v>
      </c>
      <c r="U3" s="15">
        <v>21</v>
      </c>
      <c r="V3" s="15">
        <v>30853</v>
      </c>
      <c r="W3" s="15">
        <v>92.2</v>
      </c>
      <c r="X3" s="21">
        <v>34.4</v>
      </c>
      <c r="Y3" s="15" t="b">
        <v>1</v>
      </c>
      <c r="Z3" s="15">
        <v>0.65596836183367679</v>
      </c>
      <c r="AA3" s="15">
        <v>0.25580347081361282</v>
      </c>
      <c r="AB3" s="16">
        <v>1266</v>
      </c>
      <c r="AC3" s="18">
        <f t="shared" ref="AC3:AC4" si="0">R3/S3</f>
        <v>0.92199786016337482</v>
      </c>
    </row>
    <row r="4" spans="1:29" x14ac:dyDescent="0.3">
      <c r="A4" s="4" t="s">
        <v>71</v>
      </c>
      <c r="B4" s="5" t="s">
        <v>71</v>
      </c>
      <c r="C4" s="5">
        <v>201362</v>
      </c>
      <c r="D4" s="5">
        <v>371503</v>
      </c>
      <c r="E4" s="5">
        <v>184</v>
      </c>
      <c r="F4" s="5">
        <v>573049</v>
      </c>
      <c r="G4" s="5">
        <v>4</v>
      </c>
      <c r="H4" s="5">
        <v>485</v>
      </c>
      <c r="I4" s="5">
        <v>17</v>
      </c>
      <c r="J4" s="5">
        <v>672</v>
      </c>
      <c r="K4" s="5">
        <v>26449</v>
      </c>
      <c r="L4" s="5">
        <v>28085</v>
      </c>
      <c r="M4" s="5">
        <v>22963</v>
      </c>
      <c r="N4" s="5">
        <v>760</v>
      </c>
      <c r="O4" s="5">
        <v>78929</v>
      </c>
      <c r="P4" s="5">
        <v>83918</v>
      </c>
      <c r="Q4" s="5">
        <v>207385</v>
      </c>
      <c r="R4" s="5">
        <v>291303</v>
      </c>
      <c r="S4" s="5">
        <v>370721</v>
      </c>
      <c r="T4" s="5">
        <v>328</v>
      </c>
      <c r="U4" s="5">
        <v>239</v>
      </c>
      <c r="V4" s="5">
        <v>201983</v>
      </c>
      <c r="W4" s="5">
        <v>78.599999999999994</v>
      </c>
      <c r="X4" s="20">
        <v>35.200000000000003</v>
      </c>
      <c r="Y4" s="12" t="b">
        <v>1</v>
      </c>
      <c r="Z4" s="12">
        <v>0.64692722611853437</v>
      </c>
      <c r="AA4" s="12">
        <v>0.33509863294859937</v>
      </c>
      <c r="AB4" s="13">
        <v>782</v>
      </c>
      <c r="AC4" s="18">
        <f t="shared" si="0"/>
        <v>0.78577420755770511</v>
      </c>
    </row>
    <row r="7" spans="1:29" x14ac:dyDescent="0.3">
      <c r="A7" s="6" t="s">
        <v>76</v>
      </c>
      <c r="B7" t="s">
        <v>78</v>
      </c>
    </row>
    <row r="8" spans="1:29" x14ac:dyDescent="0.3">
      <c r="A8" s="7" t="s">
        <v>71</v>
      </c>
      <c r="B8" s="8">
        <v>371503</v>
      </c>
    </row>
    <row r="9" spans="1:29" x14ac:dyDescent="0.3">
      <c r="A9" s="7" t="s">
        <v>50</v>
      </c>
      <c r="B9" s="8">
        <v>311354</v>
      </c>
    </row>
    <row r="10" spans="1:29" x14ac:dyDescent="0.3">
      <c r="A10" s="7" t="s">
        <v>37</v>
      </c>
      <c r="B10" s="8">
        <v>130708</v>
      </c>
    </row>
    <row r="11" spans="1:29" x14ac:dyDescent="0.3">
      <c r="A11" s="7" t="s">
        <v>30</v>
      </c>
      <c r="B11" s="8">
        <v>111549</v>
      </c>
    </row>
    <row r="12" spans="1:29" x14ac:dyDescent="0.3">
      <c r="A12" s="7" t="s">
        <v>48</v>
      </c>
      <c r="B12" s="8">
        <v>85392</v>
      </c>
    </row>
    <row r="13" spans="1:29" x14ac:dyDescent="0.3">
      <c r="A13" s="7" t="s">
        <v>31</v>
      </c>
      <c r="B13" s="8">
        <v>62300</v>
      </c>
    </row>
    <row r="14" spans="1:29" x14ac:dyDescent="0.3">
      <c r="A14" s="7" t="s">
        <v>70</v>
      </c>
      <c r="B14" s="8">
        <v>60149</v>
      </c>
    </row>
    <row r="15" spans="1:29" x14ac:dyDescent="0.3">
      <c r="A15" s="7" t="s">
        <v>62</v>
      </c>
      <c r="B15" s="8">
        <v>46123</v>
      </c>
    </row>
    <row r="16" spans="1:29" x14ac:dyDescent="0.3">
      <c r="A16" s="7" t="s">
        <v>32</v>
      </c>
      <c r="B16" s="8">
        <v>28787</v>
      </c>
    </row>
    <row r="17" spans="1:17" x14ac:dyDescent="0.3">
      <c r="A17" s="7" t="s">
        <v>46</v>
      </c>
      <c r="B17" s="8">
        <v>28046</v>
      </c>
    </row>
    <row r="18" spans="1:17" x14ac:dyDescent="0.3">
      <c r="A18" s="7" t="s">
        <v>63</v>
      </c>
      <c r="B18" s="8">
        <v>27807</v>
      </c>
    </row>
    <row r="19" spans="1:17" x14ac:dyDescent="0.3">
      <c r="A19" s="7" t="s">
        <v>35</v>
      </c>
      <c r="B19" s="8">
        <v>24745</v>
      </c>
    </row>
    <row r="20" spans="1:17" x14ac:dyDescent="0.3">
      <c r="A20" s="7" t="s">
        <v>39</v>
      </c>
      <c r="B20" s="8">
        <v>18281</v>
      </c>
    </row>
    <row r="21" spans="1:17" x14ac:dyDescent="0.3">
      <c r="A21" s="7" t="s">
        <v>64</v>
      </c>
      <c r="B21" s="8">
        <v>15515</v>
      </c>
    </row>
    <row r="22" spans="1:17" x14ac:dyDescent="0.3">
      <c r="A22" s="7" t="s">
        <v>51</v>
      </c>
      <c r="B22" s="8">
        <v>10366</v>
      </c>
    </row>
    <row r="23" spans="1:17" x14ac:dyDescent="0.3">
      <c r="A23" s="7" t="s">
        <v>49</v>
      </c>
      <c r="B23" s="8">
        <v>7065</v>
      </c>
    </row>
    <row r="24" spans="1:17" x14ac:dyDescent="0.3">
      <c r="A24" s="7" t="s">
        <v>25</v>
      </c>
      <c r="B24" s="8">
        <v>6966</v>
      </c>
    </row>
    <row r="25" spans="1:17" x14ac:dyDescent="0.3">
      <c r="A25" s="7" t="s">
        <v>42</v>
      </c>
      <c r="B25" s="8">
        <v>6160</v>
      </c>
    </row>
    <row r="26" spans="1:17" x14ac:dyDescent="0.3">
      <c r="A26" s="7" t="s">
        <v>26</v>
      </c>
      <c r="B26" s="8">
        <v>5040</v>
      </c>
    </row>
    <row r="27" spans="1:17" x14ac:dyDescent="0.3">
      <c r="A27" s="7" t="s">
        <v>47</v>
      </c>
      <c r="B27" s="8">
        <v>3741</v>
      </c>
    </row>
    <row r="28" spans="1:17" x14ac:dyDescent="0.3">
      <c r="A28" s="7" t="s">
        <v>40</v>
      </c>
      <c r="B28" s="8">
        <v>2471</v>
      </c>
    </row>
    <row r="29" spans="1:17" x14ac:dyDescent="0.3">
      <c r="A29" s="7" t="s">
        <v>59</v>
      </c>
      <c r="B29" s="8">
        <v>2334</v>
      </c>
    </row>
    <row r="30" spans="1:17" x14ac:dyDescent="0.3">
      <c r="A30" s="7" t="s">
        <v>60</v>
      </c>
      <c r="B30" s="8">
        <v>1655</v>
      </c>
    </row>
    <row r="31" spans="1:17" x14ac:dyDescent="0.3">
      <c r="A31" s="7" t="s">
        <v>65</v>
      </c>
      <c r="B31" s="8">
        <v>1628</v>
      </c>
      <c r="G31" t="s">
        <v>84</v>
      </c>
    </row>
    <row r="32" spans="1:17" x14ac:dyDescent="0.3">
      <c r="A32" s="7" t="s">
        <v>52</v>
      </c>
      <c r="B32" s="8">
        <v>868</v>
      </c>
      <c r="Q32" t="s">
        <v>83</v>
      </c>
    </row>
    <row r="33" spans="1:14" x14ac:dyDescent="0.3">
      <c r="A33" s="7" t="s">
        <v>61</v>
      </c>
      <c r="B33" s="8">
        <v>679</v>
      </c>
      <c r="M33" s="22" t="s">
        <v>80</v>
      </c>
      <c r="N33">
        <f>'Raw Data'!D54</f>
        <v>60149</v>
      </c>
    </row>
    <row r="34" spans="1:14" x14ac:dyDescent="0.3">
      <c r="A34" s="7" t="s">
        <v>43</v>
      </c>
      <c r="B34" s="8">
        <v>646</v>
      </c>
      <c r="M34" s="22" t="s">
        <v>81</v>
      </c>
      <c r="N34">
        <f>'Raw Data'!S55</f>
        <v>370721</v>
      </c>
    </row>
    <row r="35" spans="1:14" x14ac:dyDescent="0.3">
      <c r="A35" s="7" t="s">
        <v>67</v>
      </c>
      <c r="B35" s="8">
        <v>593</v>
      </c>
      <c r="M35" s="22" t="s">
        <v>82</v>
      </c>
      <c r="N35">
        <f>'Raw Data'!R55</f>
        <v>291303</v>
      </c>
    </row>
    <row r="36" spans="1:14" x14ac:dyDescent="0.3">
      <c r="A36" s="7" t="s">
        <v>66</v>
      </c>
      <c r="B36" s="8">
        <v>553</v>
      </c>
    </row>
    <row r="37" spans="1:14" x14ac:dyDescent="0.3">
      <c r="A37" s="7" t="s">
        <v>58</v>
      </c>
      <c r="B37" s="8">
        <v>446</v>
      </c>
    </row>
    <row r="38" spans="1:14" x14ac:dyDescent="0.3">
      <c r="A38" s="7" t="s">
        <v>57</v>
      </c>
      <c r="B38" s="8">
        <v>284</v>
      </c>
    </row>
    <row r="39" spans="1:14" x14ac:dyDescent="0.3">
      <c r="A39" s="7" t="s">
        <v>27</v>
      </c>
      <c r="B39" s="8">
        <v>239</v>
      </c>
    </row>
    <row r="40" spans="1:14" x14ac:dyDescent="0.3">
      <c r="A40" s="7" t="s">
        <v>54</v>
      </c>
      <c r="B40" s="8">
        <v>232</v>
      </c>
    </row>
    <row r="41" spans="1:14" x14ac:dyDescent="0.3">
      <c r="A41" s="7" t="s">
        <v>24</v>
      </c>
      <c r="B41" s="8">
        <v>219</v>
      </c>
    </row>
    <row r="42" spans="1:14" x14ac:dyDescent="0.3">
      <c r="A42" s="7" t="s">
        <v>53</v>
      </c>
      <c r="B42" s="8">
        <v>210</v>
      </c>
    </row>
    <row r="43" spans="1:14" x14ac:dyDescent="0.3">
      <c r="A43" s="7" t="s">
        <v>55</v>
      </c>
      <c r="B43" s="8">
        <v>112</v>
      </c>
    </row>
    <row r="44" spans="1:14" x14ac:dyDescent="0.3">
      <c r="A44" s="7" t="s">
        <v>28</v>
      </c>
      <c r="B44" s="8">
        <v>105</v>
      </c>
    </row>
    <row r="45" spans="1:14" x14ac:dyDescent="0.3">
      <c r="A45" s="7" t="s">
        <v>33</v>
      </c>
      <c r="B45" s="8">
        <v>78</v>
      </c>
    </row>
    <row r="46" spans="1:14" x14ac:dyDescent="0.3">
      <c r="A46" s="7" t="s">
        <v>34</v>
      </c>
      <c r="B46" s="8">
        <v>58</v>
      </c>
    </row>
    <row r="47" spans="1:14" x14ac:dyDescent="0.3">
      <c r="A47" s="7" t="s">
        <v>29</v>
      </c>
      <c r="B47" s="8">
        <v>33</v>
      </c>
    </row>
    <row r="48" spans="1:14" x14ac:dyDescent="0.3">
      <c r="A48" s="7" t="s">
        <v>56</v>
      </c>
      <c r="B48" s="8">
        <v>30</v>
      </c>
    </row>
    <row r="49" spans="1:2" x14ac:dyDescent="0.3">
      <c r="A49" s="7" t="s">
        <v>68</v>
      </c>
      <c r="B49" s="8">
        <v>27</v>
      </c>
    </row>
    <row r="50" spans="1:2" x14ac:dyDescent="0.3">
      <c r="A50" s="7" t="s">
        <v>69</v>
      </c>
      <c r="B50" s="8">
        <v>12</v>
      </c>
    </row>
    <row r="51" spans="1:2" x14ac:dyDescent="0.3">
      <c r="A51" s="7" t="s">
        <v>44</v>
      </c>
      <c r="B51" s="8">
        <v>12</v>
      </c>
    </row>
    <row r="52" spans="1:2" x14ac:dyDescent="0.3">
      <c r="A52" s="7" t="s">
        <v>41</v>
      </c>
      <c r="B52" s="8">
        <v>1</v>
      </c>
    </row>
    <row r="53" spans="1:2" x14ac:dyDescent="0.3">
      <c r="A53" s="7" t="s">
        <v>45</v>
      </c>
      <c r="B53" s="8">
        <v>1</v>
      </c>
    </row>
    <row r="54" spans="1:2" x14ac:dyDescent="0.3">
      <c r="A54" s="7" t="s">
        <v>77</v>
      </c>
      <c r="B54" s="8">
        <v>1375123</v>
      </c>
    </row>
  </sheetData>
  <conditionalFormatting sqref="X1:X4">
    <cfRule type="colorScale" priority="5">
      <colorScale>
        <cfvo type="min"/>
        <cfvo type="max"/>
        <color rgb="FFFF7128"/>
        <color rgb="FFFFEF9C"/>
      </colorScale>
    </cfRule>
    <cfRule type="cellIs" dxfId="0" priority="4" operator="greaterThan">
      <formula>50</formula>
    </cfRule>
    <cfRule type="cellIs" dxfId="1" priority="3" operator="greaterThan">
      <formula>50</formula>
    </cfRule>
    <cfRule type="cellIs" dxfId="2" priority="2" operator="greaterThan">
      <formula>50</formula>
    </cfRule>
    <cfRule type="cellIs" dxfId="3" priority="1" operator="greaterThan">
      <formula>50</formula>
    </cfRule>
  </conditionalFormatting>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Executive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Shatabdi Roy</cp:lastModifiedBy>
  <dcterms:created xsi:type="dcterms:W3CDTF">2026-02-04T12:06:44Z</dcterms:created>
  <dcterms:modified xsi:type="dcterms:W3CDTF">2026-02-04T13:57:06Z</dcterms:modified>
</cp:coreProperties>
</file>